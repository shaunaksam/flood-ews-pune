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  <sheet state="visible" name="M0" sheetId="2" r:id="rId6"/>
    <sheet state="visible" name="M1" sheetId="3" r:id="rId7"/>
    <sheet state="visible" name="M2" sheetId="4" r:id="rId8"/>
    <sheet state="visible" name="M3" sheetId="5" r:id="rId9"/>
    <sheet state="visible" name="M4" sheetId="6" r:id="rId10"/>
    <sheet state="visible" name="M5" sheetId="7" r:id="rId11"/>
  </sheets>
  <definedNames/>
  <calcPr/>
</workbook>
</file>

<file path=xl/sharedStrings.xml><?xml version="1.0" encoding="utf-8"?>
<sst xmlns="http://schemas.openxmlformats.org/spreadsheetml/2006/main" count="374" uniqueCount="198">
  <si>
    <t>M1 — Data Foundation &amp; Ward-Level Risk Engine</t>
  </si>
  <si>
    <t>M2 — River-Corridor Model &amp; Database Layer</t>
  </si>
  <si>
    <r>
      <rPr>
        <rFont val="Arial"/>
        <b/>
        <i/>
        <color rgb="FF1C3D5A"/>
        <sz val="19.0"/>
      </rPr>
      <t>Urban Flood &amp; Waterlogging Early Warning System</t>
    </r>
    <r>
      <rPr>
        <rFont val="Arial"/>
        <b/>
        <color rgb="FF1C3D5A"/>
        <sz val="15.0"/>
      </rPr>
      <t xml:space="preserve"> </t>
    </r>
  </si>
  <si>
    <r>
      <rPr>
        <rFont val="Arial"/>
        <b/>
        <color rgb="FF1C3D5A"/>
        <sz val="13.0"/>
      </rPr>
      <t xml:space="preserve">M0 — Discovery &amp; Feasibility </t>
    </r>
    <r>
      <rPr>
        <rFont val="Arial"/>
        <b/>
        <color rgb="FF1C3D5A"/>
        <sz val="15.0"/>
      </rPr>
      <t>(Completed)</t>
    </r>
  </si>
  <si>
    <t>Task Name</t>
  </si>
  <si>
    <t>Owner: Shaunak Samant — B.Tech CSE, Final Year, MIT-WPU  |  Plan generated: 22-Aug-2026  |  All dates below are planned targets, adjusted as the project actually progresses</t>
  </si>
  <si>
    <t>Task Description</t>
  </si>
  <si>
    <t>Owner</t>
  </si>
  <si>
    <t>Target Date</t>
  </si>
  <si>
    <t>Status</t>
  </si>
  <si>
    <t>Actual Completion Date</t>
  </si>
  <si>
    <t>Dependency</t>
  </si>
  <si>
    <t>Delay Reason (if any)</t>
  </si>
  <si>
    <t>Milestone Name</t>
  </si>
  <si>
    <t>Revised Target Date (if any)</t>
  </si>
  <si>
    <t>Set up Python environment</t>
  </si>
  <si>
    <t xml:space="preserve"> Completion Date</t>
  </si>
  <si>
    <t>Objective</t>
  </si>
  <si>
    <t>Set up PostgreSQL + PostGIS + TimescaleDB</t>
  </si>
  <si>
    <t>Start Date</t>
  </si>
  <si>
    <t>Create virtual environment; install pandas, geopandas, scikit-learn, rasterio.</t>
  </si>
  <si>
    <t>Target End Date</t>
  </si>
  <si>
    <t>Demo Date</t>
  </si>
  <si>
    <t>Run as a Docker container locally; confirm extensions load correctly.</t>
  </si>
  <si>
    <t>Milestone Tab</t>
  </si>
  <si>
    <t>Shauny</t>
  </si>
  <si>
    <t>M0 — Discovery &amp; Feasibility</t>
  </si>
  <si>
    <t>Define the problem, validate feasibility (technical/operational/economic/schedule/legal), and run a proof of concept on real historical data before writing any product code.</t>
  </si>
  <si>
    <t>Define &amp; refine problem statement</t>
  </si>
  <si>
    <t>Initial ward-level waterlogging framing, refined into a two-source model (rainfall + Khadakwasla river-corridor discharge).</t>
  </si>
  <si>
    <t>Not Started</t>
  </si>
  <si>
    <t>Shaunak</t>
  </si>
  <si>
    <t>M1 complete</t>
  </si>
  <si>
    <t>Completed</t>
  </si>
  <si>
    <t>Design database schema</t>
  </si>
  <si>
    <t>Tables for wards, rainfall readings, discharge events, and risk scores.</t>
  </si>
  <si>
    <t>None</t>
  </si>
  <si>
    <t>M0</t>
  </si>
  <si>
    <t>Database set up</t>
  </si>
  <si>
    <t>Technical feasibility research</t>
  </si>
  <si>
    <t>Migrate data into the database</t>
  </si>
  <si>
    <t>Load ward boundaries, rainfall history, and POC discharge events into the schema.</t>
  </si>
  <si>
    <t>Load &amp; clean rainfall dataset</t>
  </si>
  <si>
    <t>Evaluated IMD API, data.gov.in, opencity.in for rainfall; bharatlas &amp; PMC for ward boundaries; picked primary sources.</t>
  </si>
  <si>
    <t>Stand up the data pipeline (rainfall + ward boundaries + elevation) and build a first working ward-level flood risk model.</t>
  </si>
  <si>
    <t>Merge data.gov.in (2021–25) and opencity.in (1980–2019) rainfall data into one clean dataset.</t>
  </si>
  <si>
    <t>Schema designed</t>
  </si>
  <si>
    <t>Problem statement</t>
  </si>
  <si>
    <t>Python environment</t>
  </si>
  <si>
    <t>Build river-corridor threshold rule</t>
  </si>
  <si>
    <t>Rule-based scoring using the POC finding: ~25k+ cusecs → flag Ekta Nagar/Shivne/Bhimnagar as high-risk.</t>
  </si>
  <si>
    <t>Operational feasibility research</t>
  </si>
  <si>
    <t>Load ward boundaries into geopandas</t>
  </si>
  <si>
    <t>Load fixed ward GeoJSON; validate spatial joins against known Pune landmarks.</t>
  </si>
  <si>
    <t>Researched how PMC/PCMC control rooms actually operate (multi-agency, radio/phone-first, L0–L4 alert scale) to design around real adoption behavior.</t>
  </si>
  <si>
    <t>M1</t>
  </si>
  <si>
    <t>Data migrated</t>
  </si>
  <si>
    <t>Combine ward model + river-corridor rule</t>
  </si>
  <si>
    <t>Wire up PostgreSQL + PostGIS + TimescaleDB, and add the Khadakwasla discharge threshold rule as a second, connected risk signal.</t>
  </si>
  <si>
    <t>Source &amp; integrate elevation data</t>
  </si>
  <si>
    <t>Merge M1's ward-level model with the discharge threshold rule into one composite city-wide + ward risk score.</t>
  </si>
  <si>
    <t>Pull SRTM/Bhuvan elevation data for Pune; join to ward polygons.</t>
  </si>
  <si>
    <t>Economic feasibility — cost model</t>
  </si>
  <si>
    <t>Built single-city vs. state-level monthly cost tables (compute, DB, SMS, monitoring).</t>
  </si>
  <si>
    <t>River-corridor rule, M1 risk model</t>
  </si>
  <si>
    <t>M2</t>
  </si>
  <si>
    <t>Ward boundaries loaded</t>
  </si>
  <si>
    <t>M3 — API Layer &amp; Alerting</t>
  </si>
  <si>
    <t>Write validation tests</t>
  </si>
  <si>
    <t>Expose the risk engine through a real API and build the alert/escalation pipeline (SMS/WhatsApp), mapped to PCMC's existing L0–L4 alert scale.</t>
  </si>
  <si>
    <t>Feature engineering</t>
  </si>
  <si>
    <t>Test composite risk score output against the 6 known POC events — confirm it flags them correctly.</t>
  </si>
  <si>
    <t>Build features: rainfall intensity, ward elevation, historical incident count per ward.</t>
  </si>
  <si>
    <t>M3</t>
  </si>
  <si>
    <t>M4 — Citizen &amp; Authority Dashboard</t>
  </si>
  <si>
    <t>Composite score built</t>
  </si>
  <si>
    <t>Build the React PWA — a city-wide risk view first, with ward-level drill-down, citizen safe-route alerts, and an authority-facing EOC view.</t>
  </si>
  <si>
    <t>Rainfall data, elevation data</t>
  </si>
  <si>
    <t>Document M2 findings &amp; prep demo</t>
  </si>
  <si>
    <t>Legal feasibility — DPDP Act 2023 review</t>
  </si>
  <si>
    <t>Build baseline ward-level risk model</t>
  </si>
  <si>
    <t>M4</t>
  </si>
  <si>
    <t>Write up the composite model's behavior and prepare the milestone demo.</t>
  </si>
  <si>
    <t>Reviewed consent, purpose limitation, storage limitation, and breach-notification obligations relevant to citizen-submitted flood reports.</t>
  </si>
  <si>
    <t>First working version of the rainfall/drainage risk-scoring model (rule-based or simple regression).</t>
  </si>
  <si>
    <t>M5 — Containerization &amp; Pilot Deployment</t>
  </si>
  <si>
    <t>Containerize every service, deploy to a real k3s cluster on Oracle Cloud's free tier, and run a live end-to-end pilot test.</t>
  </si>
  <si>
    <t>Validation tests complete</t>
  </si>
  <si>
    <t>M5</t>
  </si>
  <si>
    <t>Backtest against known flood events</t>
  </si>
  <si>
    <t>SUMMARY</t>
  </si>
  <si>
    <t>Validate model output against historically known flooded wards (sanity check, not full accuracy testing).</t>
  </si>
  <si>
    <t>Ward boundary data sourcing &amp; fix</t>
  </si>
  <si>
    <t>M2 Demo</t>
  </si>
  <si>
    <t>Downloaded Pune ward GeoJSON; found and fixed a real lat/lon coordinate-order bug with a custom recursive script.</t>
  </si>
  <si>
    <t>Baseline risk model</t>
  </si>
  <si>
    <t>Document M1 findings &amp; prep demo</t>
  </si>
  <si>
    <t>Total Milestones</t>
  </si>
  <si>
    <t>Show the composite ward + river-corridor risk score, backed by the database, to mentor.</t>
  </si>
  <si>
    <t>Technical feasibility</t>
  </si>
  <si>
    <t>Write up what worked, what didn't, and prepare the milestone demo.</t>
  </si>
  <si>
    <t>Source data had swapped coordinates — caught during visual verification, not a schedule delay.</t>
  </si>
  <si>
    <t>Backtest complete</t>
  </si>
  <si>
    <t>Shauny + Mentor</t>
  </si>
  <si>
    <t>M1 Demo</t>
  </si>
  <si>
    <t>Show working ward-level risk engine on real Pune data to mentor.</t>
  </si>
  <si>
    <t>Proof of Concept — Khadakwasla discharge analysis</t>
  </si>
  <si>
    <t>Collected 6 real historical discharge events and cross-referenced against reported flooding; found a ~25k cusec threshold pattern.</t>
  </si>
  <si>
    <t>Ward boundary data</t>
  </si>
  <si>
    <t>Tech stack finalization</t>
  </si>
  <si>
    <t>Finalized Python/FastAPI, Postgres+PostGIS+TimescaleDB, Node/Express, Redis, React PWA, Docker+k3s, Oracle Cloud, Prometheus+Grafana.</t>
  </si>
  <si>
    <t>Scheduled</t>
  </si>
  <si>
    <t>Repo skeleton created</t>
  </si>
  <si>
    <t>Set up monorepo folders (ingestion/, risk-engine/, api/, alerting/, dashboard/) and root docker-compose.yml placeholder.</t>
  </si>
  <si>
    <t>All above M2 tasks</t>
  </si>
  <si>
    <t>Milestones Completed</t>
  </si>
  <si>
    <t>TBD</t>
  </si>
  <si>
    <t>All above M1 tasks</t>
  </si>
  <si>
    <t>Tasks in this milestone:</t>
  </si>
  <si>
    <t>M0 Demo — College Progress Evaluation</t>
  </si>
  <si>
    <t>5-minute presentation covering problem statement, timeline, tech stack, and problem-solving/innovation for graded internal evaluation.</t>
  </si>
  <si>
    <t>Shaunak + Asmita</t>
  </si>
  <si>
    <t>Project Start</t>
  </si>
  <si>
    <t>Planned Project End (Final Demo)</t>
  </si>
  <si>
    <t>All above M0 tasks</t>
  </si>
  <si>
    <t>Completed:</t>
  </si>
  <si>
    <t>Delayed:</t>
  </si>
  <si>
    <t>Build FastAPI risk-engine service</t>
  </si>
  <si>
    <t>Wrap the risk engine in a FastAPI service that reads from the database and returns scores.</t>
  </si>
  <si>
    <t>M2 complete</t>
  </si>
  <si>
    <t>Build Node/Express backend</t>
  </si>
  <si>
    <t>General API + auth layer, built in parallel with the FastAPI service.</t>
  </si>
  <si>
    <t>Write Dockerfiles for every service</t>
  </si>
  <si>
    <t>Set up React + PWA project</t>
  </si>
  <si>
    <t>One Dockerfile per microservice (risk engine, backend, alerting, dashboard).</t>
  </si>
  <si>
    <t>Initialize the frontend project with PWA configuration (installable, offline-friendly).</t>
  </si>
  <si>
    <t>Connect FastAPI service to Node backend</t>
  </si>
  <si>
    <t>Node backend calls the FastAPI risk service internally.</t>
  </si>
  <si>
    <t>FastAPI service, Node backend</t>
  </si>
  <si>
    <t>M3 complete</t>
  </si>
  <si>
    <t>Set up Redis queue + worker</t>
  </si>
  <si>
    <t>Lightweight queue for dispatching alerts asynchronously.</t>
  </si>
  <si>
    <t>M4 complete</t>
  </si>
  <si>
    <t>Build city-wide risk view</t>
  </si>
  <si>
    <t>Primary landing view — one composite Pune-wide risk status, not a ward list first.</t>
  </si>
  <si>
    <t>Docker Compose full integration test</t>
  </si>
  <si>
    <t>Backend connected</t>
  </si>
  <si>
    <t>Run every service together locally via Docker Compose; fix integration issues.</t>
  </si>
  <si>
    <t>Integrate SMS/WhatsApp gateway (sandbox)</t>
  </si>
  <si>
    <t>React/PWA setup, M3 API</t>
  </si>
  <si>
    <t>Connect a test-mode SMS/WhatsApp gateway API for alert delivery.</t>
  </si>
  <si>
    <t>Dockerfiles written</t>
  </si>
  <si>
    <t>Build ward-level drill-down view</t>
  </si>
  <si>
    <t>Secondary detail view for individual ward risk scores.</t>
  </si>
  <si>
    <t>Provision Oracle Cloud + k3s cluster</t>
  </si>
  <si>
    <t>Redis queue set up</t>
  </si>
  <si>
    <t>Set up Oracle Cloud Always Free tier account and a working k3s cluster.</t>
  </si>
  <si>
    <t>Map alert thresholds to PCMC L0–L4 scale</t>
  </si>
  <si>
    <t>City-wide view</t>
  </si>
  <si>
    <t>Calibrate risk levels to match PCMC's existing alert protocol instead of inventing a new scale.</t>
  </si>
  <si>
    <t>None (can run in parallel)</t>
  </si>
  <si>
    <t>Build citizen alert &amp; safe-route UI</t>
  </si>
  <si>
    <t>Citizen-facing alert display with suggested alternate routes.</t>
  </si>
  <si>
    <t>Falls during winter break — buffer built into the following task's date.</t>
  </si>
  <si>
    <t>SMS/WhatsApp gateway</t>
  </si>
  <si>
    <t>Ward-level view</t>
  </si>
  <si>
    <t>Deploy all services to k3s</t>
  </si>
  <si>
    <t>End-to-end alert test</t>
  </si>
  <si>
    <t>Deploy the full containerized stack to the production cluster.</t>
  </si>
  <si>
    <t>Build authority (EOC) dashboard view</t>
  </si>
  <si>
    <t>Simulate a high-discharge event and confirm an alert is actually sent end-to-end.</t>
  </si>
  <si>
    <t>Officer-facing view highlighting high-risk wards and dispatch status.</t>
  </si>
  <si>
    <t>Build citizen-reported flooding form</t>
  </si>
  <si>
    <t>Compose test passed, k3s provisioned</t>
  </si>
  <si>
    <t>Simple geo-tagged “report flooding here” submission, feeding into the data confidence layer.</t>
  </si>
  <si>
    <t>Alert thresholds mapped</t>
  </si>
  <si>
    <t>Set up Prometheus + Grafana monitoring</t>
  </si>
  <si>
    <t>Citizen alert UI</t>
  </si>
  <si>
    <t>Basic metrics dashboards for the live deployment.</t>
  </si>
  <si>
    <t>M3 Demo</t>
  </si>
  <si>
    <t>Wire up auth (citizen vs. officer roles)</t>
  </si>
  <si>
    <t>Basic login/role separation using the Node/Express auth layer from M3.</t>
  </si>
  <si>
    <t>Services deployed</t>
  </si>
  <si>
    <t>Show a live simulated alert flowing from risk engine → API → queue → SMS, to mentor.</t>
  </si>
  <si>
    <t>M3 backend, dashboard views</t>
  </si>
  <si>
    <t>End-to-end live pilot test</t>
  </si>
  <si>
    <t>M4 Demo</t>
  </si>
  <si>
    <t>Real data flowing in, a real simulated high-risk event, a real alert sent — on the live deployment.</t>
  </si>
  <si>
    <t>Walk mentor through the full citizen + authority dashboard experience.</t>
  </si>
  <si>
    <t>Monitoring set up</t>
  </si>
  <si>
    <t>Final documentation</t>
  </si>
  <si>
    <t>Write up the full pilot — architecture, decisions, known limitations, and future roadmap (Phases 2–4).</t>
  </si>
  <si>
    <t>All above M3 tasks</t>
  </si>
  <si>
    <t>All above M4 tasks</t>
  </si>
  <si>
    <t>Live pilot test passed</t>
  </si>
  <si>
    <t>Final Pilot Demo</t>
  </si>
  <si>
    <t>Present the complete, live, working Pune pilot to mentor — the internship's core deliverable.</t>
  </si>
  <si>
    <t>All above M5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</si>
</sst>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4">
    <font>
      <sz val="11.0"/>
      <color theme="1"/>
      <name val="Calibri"/>
      <scheme val="minor"/>
    </font>
    <font>
      <b/>
      <sz val="13.0"/>
      <color rgb="FF1C3D5A"/>
      <name val="Arial"/>
    </font>
    <font>
      <b/>
      <sz val="15.0"/>
      <color rgb="FF1C3D5A"/>
      <name val="Arial"/>
    </font>
    <font>
      <b/>
      <sz val="10.0"/>
      <color rgb="FFFFFFFF"/>
      <name val="Arial"/>
    </font>
    <font>
      <i/>
      <sz val="9.0"/>
      <color rgb="FF6B728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b/>
      <u/>
      <sz val="10.0"/>
      <color rgb="FF1C7293"/>
      <name val="Arial"/>
    </font>
    <font>
      <b/>
      <sz val="10.0"/>
      <color rgb="FF1C3D5A"/>
      <name val="Arial"/>
    </font>
    <font>
      <b/>
      <sz val="10.0"/>
      <color theme="1"/>
      <name val="Arial"/>
    </font>
    <font>
      <sz val="9.0"/>
      <color rgb="FFB0392B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C3D5A"/>
        <bgColor rgb="FF1C3D5A"/>
      </patternFill>
    </fill>
    <fill>
      <patternFill patternType="solid">
        <fgColor rgb="FF9CA3AF"/>
        <bgColor rgb="FF9CA3AF"/>
      </patternFill>
    </fill>
    <fill>
      <patternFill patternType="solid">
        <fgColor rgb="FF2A9D8F"/>
        <bgColor rgb="FF2A9D8F"/>
      </patternFill>
    </fill>
    <fill>
      <patternFill patternType="solid">
        <fgColor rgb="FFDFF3F1"/>
        <bgColor rgb="FFDFF3F1"/>
      </patternFill>
    </fill>
    <fill>
      <patternFill patternType="solid">
        <fgColor rgb="FF1C7293"/>
        <bgColor rgb="FF1C7293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bottom" wrapText="0"/>
    </xf>
    <xf borderId="1" fillId="5" fontId="7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1" fillId="5" fontId="6" numFmtId="0" xfId="0" applyAlignment="1" applyBorder="1" applyFill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8" numFmtId="164" xfId="0" applyAlignment="1" applyBorder="1" applyFill="1" applyFont="1" applyNumberForma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5" fontId="9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5" fontId="8" numFmtId="164" xfId="0" applyAlignment="1" applyBorder="1" applyFill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4.0"/>
    <col customWidth="1" min="4" max="4" width="16.0"/>
    <col customWidth="1" min="5" max="6" width="14.0"/>
    <col customWidth="1" min="7" max="7" width="16.0"/>
    <col customWidth="1" min="8" max="26" width="8.71"/>
  </cols>
  <sheetData>
    <row r="1" ht="27.75" customHeight="1">
      <c r="A1" s="2" t="s">
        <v>2</v>
      </c>
    </row>
    <row r="2" ht="18.0" customHeight="1">
      <c r="A2" s="5" t="s">
        <v>5</v>
      </c>
    </row>
    <row r="4" ht="31.5" customHeight="1">
      <c r="A4" s="4" t="s">
        <v>13</v>
      </c>
      <c r="B4" s="4" t="s">
        <v>17</v>
      </c>
      <c r="C4" s="4" t="s">
        <v>19</v>
      </c>
      <c r="D4" s="4" t="s">
        <v>21</v>
      </c>
      <c r="E4" s="4" t="s">
        <v>22</v>
      </c>
      <c r="F4" s="4" t="s">
        <v>9</v>
      </c>
      <c r="G4" s="4" t="s">
        <v>24</v>
      </c>
    </row>
    <row r="5" ht="45.75" customHeight="1">
      <c r="A5" s="10" t="s">
        <v>26</v>
      </c>
      <c r="B5" s="12" t="s">
        <v>27</v>
      </c>
      <c r="C5" s="15">
        <v>46227.0</v>
      </c>
      <c r="D5" s="15">
        <v>46233.0</v>
      </c>
      <c r="E5" s="15">
        <v>46255.0</v>
      </c>
      <c r="F5" s="17" t="s">
        <v>33</v>
      </c>
      <c r="G5" s="18" t="s">
        <v>37</v>
      </c>
    </row>
    <row r="6" ht="45.75" customHeight="1">
      <c r="A6" s="10" t="s">
        <v>0</v>
      </c>
      <c r="B6" s="8" t="s">
        <v>44</v>
      </c>
      <c r="C6" s="11">
        <v>46258.0</v>
      </c>
      <c r="D6" s="11">
        <v>46283.0</v>
      </c>
      <c r="E6" s="11">
        <v>46286.0</v>
      </c>
      <c r="F6" s="14" t="s">
        <v>30</v>
      </c>
      <c r="G6" s="18" t="s">
        <v>55</v>
      </c>
    </row>
    <row r="7" ht="45.75" customHeight="1">
      <c r="A7" s="10" t="s">
        <v>1</v>
      </c>
      <c r="B7" s="8" t="s">
        <v>58</v>
      </c>
      <c r="C7" s="11">
        <v>46287.0</v>
      </c>
      <c r="D7" s="11">
        <v>46311.0</v>
      </c>
      <c r="E7" s="11">
        <v>46314.0</v>
      </c>
      <c r="F7" s="14" t="s">
        <v>30</v>
      </c>
      <c r="G7" s="18" t="s">
        <v>65</v>
      </c>
    </row>
    <row r="8" ht="45.75" customHeight="1">
      <c r="A8" s="10" t="s">
        <v>67</v>
      </c>
      <c r="B8" s="8" t="s">
        <v>69</v>
      </c>
      <c r="C8" s="11">
        <v>46315.0</v>
      </c>
      <c r="D8" s="11">
        <v>46339.0</v>
      </c>
      <c r="E8" s="11">
        <v>46342.0</v>
      </c>
      <c r="F8" s="14" t="s">
        <v>30</v>
      </c>
      <c r="G8" s="18" t="s">
        <v>73</v>
      </c>
    </row>
    <row r="9" ht="45.75" customHeight="1">
      <c r="A9" s="10" t="s">
        <v>74</v>
      </c>
      <c r="B9" s="8" t="s">
        <v>76</v>
      </c>
      <c r="C9" s="11">
        <v>46343.0</v>
      </c>
      <c r="D9" s="11">
        <v>46367.0</v>
      </c>
      <c r="E9" s="11">
        <v>46370.0</v>
      </c>
      <c r="F9" s="14" t="s">
        <v>30</v>
      </c>
      <c r="G9" s="18" t="s">
        <v>81</v>
      </c>
    </row>
    <row r="10" ht="45.75" customHeight="1">
      <c r="A10" s="10" t="s">
        <v>85</v>
      </c>
      <c r="B10" s="8" t="s">
        <v>86</v>
      </c>
      <c r="C10" s="11">
        <v>46371.0</v>
      </c>
      <c r="D10" s="11">
        <v>46395.0</v>
      </c>
      <c r="E10" s="11">
        <v>46398.0</v>
      </c>
      <c r="F10" s="14" t="s">
        <v>30</v>
      </c>
      <c r="G10" s="18" t="s">
        <v>88</v>
      </c>
    </row>
    <row r="12">
      <c r="A12" s="19" t="s">
        <v>90</v>
      </c>
    </row>
    <row r="13">
      <c r="A13" s="21" t="s">
        <v>97</v>
      </c>
      <c r="B13" s="28">
        <f>COUNTA(A5:A10)</f>
        <v>6</v>
      </c>
    </row>
    <row r="14">
      <c r="A14" s="21" t="s">
        <v>115</v>
      </c>
      <c r="B14" s="28">
        <f>COUNTIF(F5:F10,"Completed")</f>
        <v>1</v>
      </c>
    </row>
    <row r="15">
      <c r="A15" s="21" t="s">
        <v>122</v>
      </c>
      <c r="B15" s="30">
        <f>MIN(C5:C10)</f>
        <v>46227</v>
      </c>
    </row>
    <row r="16">
      <c r="A16" s="21" t="s">
        <v>123</v>
      </c>
      <c r="B16" s="30"/>
    </row>
    <row r="18">
      <c r="A18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12:G12"/>
    <mergeCell ref="A18:G18"/>
    <mergeCell ref="A2:G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3" t="s">
        <v>3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7" t="s">
        <v>16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28</v>
      </c>
      <c r="B4" s="8" t="s">
        <v>29</v>
      </c>
      <c r="C4" s="13" t="s">
        <v>31</v>
      </c>
      <c r="D4" s="15">
        <v>46237.0</v>
      </c>
      <c r="E4" s="17" t="s">
        <v>33</v>
      </c>
      <c r="F4" s="15">
        <v>46237.0</v>
      </c>
      <c r="G4" s="8" t="s">
        <v>36</v>
      </c>
      <c r="H4" s="8"/>
      <c r="I4" s="16"/>
    </row>
    <row r="5" ht="42.0" customHeight="1">
      <c r="A5" s="6" t="s">
        <v>39</v>
      </c>
      <c r="B5" s="8" t="s">
        <v>43</v>
      </c>
      <c r="C5" s="13" t="s">
        <v>31</v>
      </c>
      <c r="D5" s="15">
        <v>46206.0</v>
      </c>
      <c r="E5" s="17" t="s">
        <v>33</v>
      </c>
      <c r="F5" s="15">
        <v>46206.0</v>
      </c>
      <c r="G5" s="8" t="s">
        <v>47</v>
      </c>
      <c r="H5" s="8"/>
      <c r="I5" s="16"/>
    </row>
    <row r="6" ht="42.0" customHeight="1">
      <c r="A6" s="6" t="s">
        <v>51</v>
      </c>
      <c r="B6" s="8" t="s">
        <v>54</v>
      </c>
      <c r="C6" s="13" t="s">
        <v>31</v>
      </c>
      <c r="D6" s="15">
        <v>46239.0</v>
      </c>
      <c r="E6" s="17" t="s">
        <v>33</v>
      </c>
      <c r="F6" s="15">
        <v>46238.0</v>
      </c>
      <c r="G6" s="8" t="s">
        <v>36</v>
      </c>
      <c r="H6" s="8"/>
      <c r="I6" s="16"/>
    </row>
    <row r="7" ht="42.0" customHeight="1">
      <c r="A7" s="6" t="s">
        <v>62</v>
      </c>
      <c r="B7" s="8" t="s">
        <v>63</v>
      </c>
      <c r="C7" s="13" t="s">
        <v>31</v>
      </c>
      <c r="D7" s="15">
        <v>46239.0</v>
      </c>
      <c r="E7" s="17" t="s">
        <v>33</v>
      </c>
      <c r="F7" s="11">
        <v>46238.0</v>
      </c>
      <c r="G7" s="8" t="s">
        <v>36</v>
      </c>
      <c r="H7" s="8"/>
      <c r="I7" s="16"/>
    </row>
    <row r="8" ht="42.0" customHeight="1">
      <c r="A8" s="6" t="s">
        <v>79</v>
      </c>
      <c r="B8" s="8" t="s">
        <v>83</v>
      </c>
      <c r="C8" s="13" t="s">
        <v>31</v>
      </c>
      <c r="D8" s="15">
        <v>46239.0</v>
      </c>
      <c r="E8" s="17" t="s">
        <v>33</v>
      </c>
      <c r="F8" s="15">
        <v>46238.0</v>
      </c>
      <c r="G8" s="8" t="s">
        <v>36</v>
      </c>
      <c r="H8" s="8"/>
      <c r="I8" s="16"/>
    </row>
    <row r="9" ht="42.0" customHeight="1">
      <c r="A9" s="6" t="s">
        <v>92</v>
      </c>
      <c r="B9" s="8" t="s">
        <v>94</v>
      </c>
      <c r="C9" s="13" t="s">
        <v>31</v>
      </c>
      <c r="D9" s="11">
        <v>46244.0</v>
      </c>
      <c r="E9" s="17" t="s">
        <v>33</v>
      </c>
      <c r="F9" s="11">
        <v>46246.0</v>
      </c>
      <c r="G9" s="8" t="s">
        <v>99</v>
      </c>
      <c r="H9" s="23" t="s">
        <v>101</v>
      </c>
      <c r="I9" s="16"/>
    </row>
    <row r="10" ht="42.0" customHeight="1">
      <c r="A10" s="6" t="s">
        <v>106</v>
      </c>
      <c r="B10" s="8" t="s">
        <v>107</v>
      </c>
      <c r="C10" s="13" t="s">
        <v>31</v>
      </c>
      <c r="D10" s="15">
        <v>46249.0</v>
      </c>
      <c r="E10" s="17" t="s">
        <v>33</v>
      </c>
      <c r="F10" s="15">
        <v>46249.0</v>
      </c>
      <c r="G10" s="8" t="s">
        <v>108</v>
      </c>
      <c r="H10" s="8"/>
      <c r="I10" s="16"/>
    </row>
    <row r="11" ht="42.0" customHeight="1">
      <c r="A11" s="6" t="s">
        <v>109</v>
      </c>
      <c r="B11" s="8" t="s">
        <v>110</v>
      </c>
      <c r="C11" s="13" t="s">
        <v>31</v>
      </c>
      <c r="D11" s="11">
        <v>46253.0</v>
      </c>
      <c r="E11" s="17" t="s">
        <v>33</v>
      </c>
      <c r="F11" s="11">
        <v>46253.0</v>
      </c>
      <c r="G11" s="8" t="s">
        <v>36</v>
      </c>
      <c r="H11" s="8"/>
      <c r="I11" s="16"/>
    </row>
    <row r="12" ht="42.0" customHeight="1">
      <c r="A12" s="6" t="s">
        <v>112</v>
      </c>
      <c r="B12" s="8" t="s">
        <v>113</v>
      </c>
      <c r="C12" s="13" t="s">
        <v>31</v>
      </c>
      <c r="D12" s="15">
        <v>46257.0</v>
      </c>
      <c r="E12" s="17" t="s">
        <v>33</v>
      </c>
      <c r="F12" s="15">
        <v>46257.0</v>
      </c>
      <c r="G12" s="8" t="s">
        <v>109</v>
      </c>
      <c r="H12" s="12" t="s">
        <v>116</v>
      </c>
      <c r="I12" s="16"/>
    </row>
    <row r="13" ht="42.0" customHeight="1">
      <c r="A13" s="20" t="s">
        <v>119</v>
      </c>
      <c r="B13" s="22" t="s">
        <v>120</v>
      </c>
      <c r="C13" s="13" t="s">
        <v>121</v>
      </c>
      <c r="D13" s="29">
        <v>46257.0</v>
      </c>
      <c r="E13" s="26" t="s">
        <v>111</v>
      </c>
      <c r="F13" s="27"/>
      <c r="G13" s="22" t="s">
        <v>124</v>
      </c>
      <c r="H13" s="22"/>
      <c r="I13" s="27"/>
    </row>
    <row r="15">
      <c r="A15" s="21" t="s">
        <v>118</v>
      </c>
      <c r="C15" s="28">
        <f>COUNTA(A4:A13)</f>
        <v>10</v>
      </c>
    </row>
    <row r="16">
      <c r="A16" s="21" t="s">
        <v>125</v>
      </c>
      <c r="C16" s="28">
        <f>COUNTIF(E4:E13,"Completed")</f>
        <v>9</v>
      </c>
    </row>
    <row r="17">
      <c r="A17" s="21" t="s">
        <v>126</v>
      </c>
      <c r="C17" s="28">
        <f>COUNTIF(E4:E13,"Delayed")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1" t="s">
        <v>0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15</v>
      </c>
      <c r="B4" s="8" t="s">
        <v>20</v>
      </c>
      <c r="C4" s="9" t="s">
        <v>25</v>
      </c>
      <c r="D4" s="11">
        <v>46260.0</v>
      </c>
      <c r="E4" s="14" t="s">
        <v>30</v>
      </c>
      <c r="F4" s="16"/>
      <c r="G4" s="8" t="s">
        <v>36</v>
      </c>
      <c r="H4" s="8"/>
      <c r="I4" s="16"/>
    </row>
    <row r="5" ht="42.0" customHeight="1">
      <c r="A5" s="6" t="s">
        <v>42</v>
      </c>
      <c r="B5" s="8" t="s">
        <v>45</v>
      </c>
      <c r="C5" s="9" t="s">
        <v>25</v>
      </c>
      <c r="D5" s="11">
        <v>46263.0</v>
      </c>
      <c r="E5" s="14" t="s">
        <v>30</v>
      </c>
      <c r="F5" s="16"/>
      <c r="G5" s="8" t="s">
        <v>48</v>
      </c>
      <c r="H5" s="8"/>
      <c r="I5" s="16"/>
    </row>
    <row r="6" ht="42.0" customHeight="1">
      <c r="A6" s="6" t="s">
        <v>52</v>
      </c>
      <c r="B6" s="8" t="s">
        <v>53</v>
      </c>
      <c r="C6" s="9" t="s">
        <v>25</v>
      </c>
      <c r="D6" s="11">
        <v>46266.0</v>
      </c>
      <c r="E6" s="14" t="s">
        <v>30</v>
      </c>
      <c r="F6" s="16"/>
      <c r="G6" s="8" t="s">
        <v>48</v>
      </c>
      <c r="H6" s="8"/>
      <c r="I6" s="16"/>
    </row>
    <row r="7" ht="42.0" customHeight="1">
      <c r="A7" s="6" t="s">
        <v>59</v>
      </c>
      <c r="B7" s="8" t="s">
        <v>61</v>
      </c>
      <c r="C7" s="9" t="s">
        <v>25</v>
      </c>
      <c r="D7" s="11">
        <v>46269.0</v>
      </c>
      <c r="E7" s="14" t="s">
        <v>30</v>
      </c>
      <c r="F7" s="16"/>
      <c r="G7" s="8" t="s">
        <v>66</v>
      </c>
      <c r="H7" s="8"/>
      <c r="I7" s="16"/>
    </row>
    <row r="8" ht="42.0" customHeight="1">
      <c r="A8" s="6" t="s">
        <v>70</v>
      </c>
      <c r="B8" s="8" t="s">
        <v>72</v>
      </c>
      <c r="C8" s="9" t="s">
        <v>25</v>
      </c>
      <c r="D8" s="11">
        <v>46273.0</v>
      </c>
      <c r="E8" s="14" t="s">
        <v>30</v>
      </c>
      <c r="F8" s="16"/>
      <c r="G8" s="8" t="s">
        <v>77</v>
      </c>
      <c r="H8" s="8"/>
      <c r="I8" s="16"/>
    </row>
    <row r="9" ht="42.0" customHeight="1">
      <c r="A9" s="6" t="s">
        <v>80</v>
      </c>
      <c r="B9" s="8" t="s">
        <v>84</v>
      </c>
      <c r="C9" s="9" t="s">
        <v>25</v>
      </c>
      <c r="D9" s="11">
        <v>46276.0</v>
      </c>
      <c r="E9" s="14" t="s">
        <v>30</v>
      </c>
      <c r="F9" s="16"/>
      <c r="G9" s="8" t="s">
        <v>70</v>
      </c>
      <c r="H9" s="8"/>
      <c r="I9" s="16"/>
    </row>
    <row r="10" ht="42.0" customHeight="1">
      <c r="A10" s="6" t="s">
        <v>89</v>
      </c>
      <c r="B10" s="8" t="s">
        <v>91</v>
      </c>
      <c r="C10" s="9" t="s">
        <v>25</v>
      </c>
      <c r="D10" s="11">
        <v>46280.0</v>
      </c>
      <c r="E10" s="14" t="s">
        <v>30</v>
      </c>
      <c r="F10" s="16"/>
      <c r="G10" s="8" t="s">
        <v>95</v>
      </c>
      <c r="H10" s="8"/>
      <c r="I10" s="16"/>
    </row>
    <row r="11" ht="42.0" customHeight="1">
      <c r="A11" s="6" t="s">
        <v>96</v>
      </c>
      <c r="B11" s="8" t="s">
        <v>100</v>
      </c>
      <c r="C11" s="9" t="s">
        <v>25</v>
      </c>
      <c r="D11" s="11">
        <v>46282.0</v>
      </c>
      <c r="E11" s="14" t="s">
        <v>30</v>
      </c>
      <c r="F11" s="16"/>
      <c r="G11" s="8" t="s">
        <v>102</v>
      </c>
      <c r="H11" s="8"/>
      <c r="I11" s="16"/>
    </row>
    <row r="12" ht="42.0" customHeight="1">
      <c r="A12" s="20" t="s">
        <v>104</v>
      </c>
      <c r="B12" s="22" t="s">
        <v>105</v>
      </c>
      <c r="C12" s="24" t="s">
        <v>103</v>
      </c>
      <c r="D12" s="25">
        <v>46286.0</v>
      </c>
      <c r="E12" s="26" t="s">
        <v>111</v>
      </c>
      <c r="F12" s="27"/>
      <c r="G12" s="22" t="s">
        <v>117</v>
      </c>
      <c r="H12" s="22"/>
      <c r="I12" s="27"/>
    </row>
    <row r="14">
      <c r="A14" s="21" t="s">
        <v>118</v>
      </c>
      <c r="C14" s="28">
        <f>COUNTA(A4:A12)</f>
        <v>9</v>
      </c>
    </row>
    <row r="15">
      <c r="A15" s="21" t="s">
        <v>125</v>
      </c>
      <c r="C15" s="28">
        <f>COUNTIF(E4:E12,"Completed")</f>
        <v>0</v>
      </c>
    </row>
    <row r="16">
      <c r="A16" s="21" t="s">
        <v>126</v>
      </c>
      <c r="C16" s="28">
        <f>COUNTIF(E4:E12,"Delayed")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1" t="s">
        <v>1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18</v>
      </c>
      <c r="B4" s="8" t="s">
        <v>23</v>
      </c>
      <c r="C4" s="9" t="s">
        <v>25</v>
      </c>
      <c r="D4" s="11">
        <v>46289.0</v>
      </c>
      <c r="E4" s="14" t="s">
        <v>30</v>
      </c>
      <c r="F4" s="16"/>
      <c r="G4" s="8" t="s">
        <v>32</v>
      </c>
      <c r="H4" s="8"/>
      <c r="I4" s="16"/>
    </row>
    <row r="5" ht="42.0" customHeight="1">
      <c r="A5" s="6" t="s">
        <v>34</v>
      </c>
      <c r="B5" s="8" t="s">
        <v>35</v>
      </c>
      <c r="C5" s="9" t="s">
        <v>25</v>
      </c>
      <c r="D5" s="11">
        <v>46293.0</v>
      </c>
      <c r="E5" s="14" t="s">
        <v>30</v>
      </c>
      <c r="F5" s="16"/>
      <c r="G5" s="8" t="s">
        <v>38</v>
      </c>
      <c r="H5" s="8"/>
      <c r="I5" s="16"/>
    </row>
    <row r="6" ht="42.0" customHeight="1">
      <c r="A6" s="6" t="s">
        <v>40</v>
      </c>
      <c r="B6" s="8" t="s">
        <v>41</v>
      </c>
      <c r="C6" s="9" t="s">
        <v>25</v>
      </c>
      <c r="D6" s="11">
        <v>46296.0</v>
      </c>
      <c r="E6" s="14" t="s">
        <v>30</v>
      </c>
      <c r="F6" s="16"/>
      <c r="G6" s="8" t="s">
        <v>46</v>
      </c>
      <c r="H6" s="8"/>
      <c r="I6" s="16"/>
    </row>
    <row r="7" ht="42.0" customHeight="1">
      <c r="A7" s="6" t="s">
        <v>49</v>
      </c>
      <c r="B7" s="8" t="s">
        <v>50</v>
      </c>
      <c r="C7" s="9" t="s">
        <v>25</v>
      </c>
      <c r="D7" s="11">
        <v>46300.0</v>
      </c>
      <c r="E7" s="14" t="s">
        <v>30</v>
      </c>
      <c r="F7" s="16"/>
      <c r="G7" s="8" t="s">
        <v>56</v>
      </c>
      <c r="H7" s="8"/>
      <c r="I7" s="16"/>
    </row>
    <row r="8" ht="42.0" customHeight="1">
      <c r="A8" s="6" t="s">
        <v>57</v>
      </c>
      <c r="B8" s="8" t="s">
        <v>60</v>
      </c>
      <c r="C8" s="9" t="s">
        <v>25</v>
      </c>
      <c r="D8" s="11">
        <v>46303.0</v>
      </c>
      <c r="E8" s="14" t="s">
        <v>30</v>
      </c>
      <c r="F8" s="16"/>
      <c r="G8" s="8" t="s">
        <v>64</v>
      </c>
      <c r="H8" s="8"/>
      <c r="I8" s="16"/>
    </row>
    <row r="9" ht="42.0" customHeight="1">
      <c r="A9" s="6" t="s">
        <v>68</v>
      </c>
      <c r="B9" s="8" t="s">
        <v>71</v>
      </c>
      <c r="C9" s="9" t="s">
        <v>25</v>
      </c>
      <c r="D9" s="11">
        <v>46307.0</v>
      </c>
      <c r="E9" s="14" t="s">
        <v>30</v>
      </c>
      <c r="F9" s="16"/>
      <c r="G9" s="8" t="s">
        <v>75</v>
      </c>
      <c r="H9" s="8"/>
      <c r="I9" s="16"/>
    </row>
    <row r="10" ht="42.0" customHeight="1">
      <c r="A10" s="6" t="s">
        <v>78</v>
      </c>
      <c r="B10" s="8" t="s">
        <v>82</v>
      </c>
      <c r="C10" s="9" t="s">
        <v>25</v>
      </c>
      <c r="D10" s="11">
        <v>46310.0</v>
      </c>
      <c r="E10" s="14" t="s">
        <v>30</v>
      </c>
      <c r="F10" s="16"/>
      <c r="G10" s="8" t="s">
        <v>87</v>
      </c>
      <c r="H10" s="8"/>
      <c r="I10" s="16"/>
    </row>
    <row r="11" ht="42.0" customHeight="1">
      <c r="A11" s="20" t="s">
        <v>93</v>
      </c>
      <c r="B11" s="22" t="s">
        <v>98</v>
      </c>
      <c r="C11" s="24" t="s">
        <v>103</v>
      </c>
      <c r="D11" s="25">
        <v>46314.0</v>
      </c>
      <c r="E11" s="26" t="s">
        <v>111</v>
      </c>
      <c r="F11" s="27"/>
      <c r="G11" s="22" t="s">
        <v>114</v>
      </c>
      <c r="H11" s="22"/>
      <c r="I11" s="27"/>
    </row>
    <row r="13">
      <c r="A13" s="21" t="s">
        <v>118</v>
      </c>
      <c r="C13" s="28">
        <f>COUNTA(A4:A11)</f>
        <v>8</v>
      </c>
    </row>
    <row r="14">
      <c r="A14" s="21" t="s">
        <v>125</v>
      </c>
      <c r="C14" s="28">
        <f>COUNTIF(E4:E11,"Completed")</f>
        <v>0</v>
      </c>
    </row>
    <row r="15">
      <c r="A15" s="21" t="s">
        <v>126</v>
      </c>
      <c r="C15" s="28">
        <f>COUNTIF(E4:E11,"Delayed")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1" t="s">
        <v>67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127</v>
      </c>
      <c r="B4" s="8" t="s">
        <v>128</v>
      </c>
      <c r="C4" s="9" t="s">
        <v>25</v>
      </c>
      <c r="D4" s="11">
        <v>46317.0</v>
      </c>
      <c r="E4" s="14" t="s">
        <v>30</v>
      </c>
      <c r="F4" s="16"/>
      <c r="G4" s="8" t="s">
        <v>129</v>
      </c>
      <c r="H4" s="8"/>
      <c r="I4" s="16"/>
    </row>
    <row r="5" ht="42.0" customHeight="1">
      <c r="A5" s="6" t="s">
        <v>130</v>
      </c>
      <c r="B5" s="8" t="s">
        <v>131</v>
      </c>
      <c r="C5" s="9" t="s">
        <v>25</v>
      </c>
      <c r="D5" s="11">
        <v>46321.0</v>
      </c>
      <c r="E5" s="14" t="s">
        <v>30</v>
      </c>
      <c r="F5" s="16"/>
      <c r="G5" s="8" t="s">
        <v>129</v>
      </c>
      <c r="H5" s="8"/>
      <c r="I5" s="16"/>
    </row>
    <row r="6" ht="42.0" customHeight="1">
      <c r="A6" s="6" t="s">
        <v>136</v>
      </c>
      <c r="B6" s="8" t="s">
        <v>137</v>
      </c>
      <c r="C6" s="9" t="s">
        <v>25</v>
      </c>
      <c r="D6" s="11">
        <v>46324.0</v>
      </c>
      <c r="E6" s="14" t="s">
        <v>30</v>
      </c>
      <c r="F6" s="16"/>
      <c r="G6" s="8" t="s">
        <v>138</v>
      </c>
      <c r="H6" s="8"/>
      <c r="I6" s="16"/>
    </row>
    <row r="7" ht="42.0" customHeight="1">
      <c r="A7" s="6" t="s">
        <v>140</v>
      </c>
      <c r="B7" s="8" t="s">
        <v>141</v>
      </c>
      <c r="C7" s="9" t="s">
        <v>25</v>
      </c>
      <c r="D7" s="11">
        <v>46328.0</v>
      </c>
      <c r="E7" s="14" t="s">
        <v>30</v>
      </c>
      <c r="F7" s="16"/>
      <c r="G7" s="8" t="s">
        <v>146</v>
      </c>
      <c r="H7" s="8"/>
      <c r="I7" s="16"/>
    </row>
    <row r="8" ht="42.0" customHeight="1">
      <c r="A8" s="6" t="s">
        <v>148</v>
      </c>
      <c r="B8" s="8" t="s">
        <v>150</v>
      </c>
      <c r="C8" s="9" t="s">
        <v>25</v>
      </c>
      <c r="D8" s="11">
        <v>46331.0</v>
      </c>
      <c r="E8" s="14" t="s">
        <v>30</v>
      </c>
      <c r="F8" s="16"/>
      <c r="G8" s="8" t="s">
        <v>155</v>
      </c>
      <c r="H8" s="8"/>
      <c r="I8" s="16"/>
    </row>
    <row r="9" ht="42.0" customHeight="1">
      <c r="A9" s="6" t="s">
        <v>157</v>
      </c>
      <c r="B9" s="8" t="s">
        <v>159</v>
      </c>
      <c r="C9" s="9" t="s">
        <v>25</v>
      </c>
      <c r="D9" s="11">
        <v>46335.0</v>
      </c>
      <c r="E9" s="14" t="s">
        <v>30</v>
      </c>
      <c r="F9" s="16"/>
      <c r="G9" s="8" t="s">
        <v>164</v>
      </c>
      <c r="H9" s="8"/>
      <c r="I9" s="16"/>
    </row>
    <row r="10" ht="42.0" customHeight="1">
      <c r="A10" s="6" t="s">
        <v>167</v>
      </c>
      <c r="B10" s="8" t="s">
        <v>170</v>
      </c>
      <c r="C10" s="9" t="s">
        <v>25</v>
      </c>
      <c r="D10" s="11">
        <v>46338.0</v>
      </c>
      <c r="E10" s="14" t="s">
        <v>30</v>
      </c>
      <c r="F10" s="16"/>
      <c r="G10" s="8" t="s">
        <v>175</v>
      </c>
      <c r="H10" s="8"/>
      <c r="I10" s="16"/>
    </row>
    <row r="11" ht="42.0" customHeight="1">
      <c r="A11" s="20" t="s">
        <v>179</v>
      </c>
      <c r="B11" s="22" t="s">
        <v>183</v>
      </c>
      <c r="C11" s="24" t="s">
        <v>103</v>
      </c>
      <c r="D11" s="25">
        <v>46342.0</v>
      </c>
      <c r="E11" s="26" t="s">
        <v>111</v>
      </c>
      <c r="F11" s="27"/>
      <c r="G11" s="22" t="s">
        <v>192</v>
      </c>
      <c r="H11" s="22"/>
      <c r="I11" s="27"/>
    </row>
    <row r="13">
      <c r="A13" s="21" t="s">
        <v>118</v>
      </c>
      <c r="C13" s="28">
        <f>COUNTA(A4:A11)</f>
        <v>8</v>
      </c>
    </row>
    <row r="14">
      <c r="A14" s="21" t="s">
        <v>125</v>
      </c>
      <c r="C14" s="28">
        <f>COUNTIF(E4:E11,"Completed")</f>
        <v>0</v>
      </c>
    </row>
    <row r="15">
      <c r="A15" s="21" t="s">
        <v>126</v>
      </c>
      <c r="C15" s="28">
        <f>COUNTIF(E4:E11,"Delayed")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1" t="s">
        <v>74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133</v>
      </c>
      <c r="B4" s="8" t="s">
        <v>135</v>
      </c>
      <c r="C4" s="9" t="s">
        <v>25</v>
      </c>
      <c r="D4" s="11">
        <v>46345.0</v>
      </c>
      <c r="E4" s="14" t="s">
        <v>30</v>
      </c>
      <c r="F4" s="16"/>
      <c r="G4" s="8" t="s">
        <v>139</v>
      </c>
      <c r="H4" s="8"/>
      <c r="I4" s="16"/>
    </row>
    <row r="5" ht="42.0" customHeight="1">
      <c r="A5" s="6" t="s">
        <v>143</v>
      </c>
      <c r="B5" s="8" t="s">
        <v>144</v>
      </c>
      <c r="C5" s="9" t="s">
        <v>25</v>
      </c>
      <c r="D5" s="11">
        <v>46349.0</v>
      </c>
      <c r="E5" s="14" t="s">
        <v>30</v>
      </c>
      <c r="F5" s="16"/>
      <c r="G5" s="8" t="s">
        <v>149</v>
      </c>
      <c r="H5" s="8"/>
      <c r="I5" s="16"/>
    </row>
    <row r="6" ht="42.0" customHeight="1">
      <c r="A6" s="6" t="s">
        <v>152</v>
      </c>
      <c r="B6" s="8" t="s">
        <v>153</v>
      </c>
      <c r="C6" s="9" t="s">
        <v>25</v>
      </c>
      <c r="D6" s="11">
        <v>46352.0</v>
      </c>
      <c r="E6" s="14" t="s">
        <v>30</v>
      </c>
      <c r="F6" s="16"/>
      <c r="G6" s="8" t="s">
        <v>158</v>
      </c>
      <c r="H6" s="8"/>
      <c r="I6" s="16"/>
    </row>
    <row r="7" ht="42.0" customHeight="1">
      <c r="A7" s="6" t="s">
        <v>161</v>
      </c>
      <c r="B7" s="8" t="s">
        <v>162</v>
      </c>
      <c r="C7" s="9" t="s">
        <v>25</v>
      </c>
      <c r="D7" s="11">
        <v>46356.0</v>
      </c>
      <c r="E7" s="14" t="s">
        <v>30</v>
      </c>
      <c r="F7" s="16"/>
      <c r="G7" s="8" t="s">
        <v>165</v>
      </c>
      <c r="H7" s="8"/>
      <c r="I7" s="16"/>
    </row>
    <row r="8" ht="42.0" customHeight="1">
      <c r="A8" s="6" t="s">
        <v>169</v>
      </c>
      <c r="B8" s="8" t="s">
        <v>171</v>
      </c>
      <c r="C8" s="9" t="s">
        <v>25</v>
      </c>
      <c r="D8" s="11">
        <v>46359.0</v>
      </c>
      <c r="E8" s="14" t="s">
        <v>30</v>
      </c>
      <c r="F8" s="16"/>
      <c r="G8" s="8" t="s">
        <v>165</v>
      </c>
      <c r="H8" s="8"/>
      <c r="I8" s="16"/>
    </row>
    <row r="9" ht="42.0" customHeight="1">
      <c r="A9" s="6" t="s">
        <v>172</v>
      </c>
      <c r="B9" s="8" t="s">
        <v>174</v>
      </c>
      <c r="C9" s="9" t="s">
        <v>25</v>
      </c>
      <c r="D9" s="11">
        <v>46363.0</v>
      </c>
      <c r="E9" s="14" t="s">
        <v>30</v>
      </c>
      <c r="F9" s="16"/>
      <c r="G9" s="8" t="s">
        <v>177</v>
      </c>
      <c r="H9" s="8"/>
      <c r="I9" s="16"/>
    </row>
    <row r="10" ht="42.0" customHeight="1">
      <c r="A10" s="6" t="s">
        <v>180</v>
      </c>
      <c r="B10" s="8" t="s">
        <v>181</v>
      </c>
      <c r="C10" s="9" t="s">
        <v>25</v>
      </c>
      <c r="D10" s="11">
        <v>46366.0</v>
      </c>
      <c r="E10" s="14" t="s">
        <v>30</v>
      </c>
      <c r="F10" s="16"/>
      <c r="G10" s="8" t="s">
        <v>184</v>
      </c>
      <c r="H10" s="8"/>
      <c r="I10" s="16"/>
    </row>
    <row r="11" ht="42.0" customHeight="1">
      <c r="A11" s="20" t="s">
        <v>186</v>
      </c>
      <c r="B11" s="22" t="s">
        <v>188</v>
      </c>
      <c r="C11" s="24" t="s">
        <v>103</v>
      </c>
      <c r="D11" s="25">
        <v>46370.0</v>
      </c>
      <c r="E11" s="26" t="s">
        <v>111</v>
      </c>
      <c r="F11" s="27"/>
      <c r="G11" s="22" t="s">
        <v>193</v>
      </c>
      <c r="H11" s="22"/>
      <c r="I11" s="27"/>
    </row>
    <row r="13">
      <c r="A13" s="21" t="s">
        <v>118</v>
      </c>
      <c r="C13" s="28">
        <f>COUNTA(A4:A11)</f>
        <v>8</v>
      </c>
    </row>
    <row r="14">
      <c r="A14" s="21" t="s">
        <v>125</v>
      </c>
      <c r="C14" s="28">
        <f>COUNTIF(E4:E11,"Completed")</f>
        <v>0</v>
      </c>
    </row>
    <row r="15">
      <c r="A15" s="21" t="s">
        <v>126</v>
      </c>
      <c r="C15" s="28">
        <f>COUNTIF(E4:E11,"Delayed")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46.0"/>
    <col customWidth="1" min="3" max="3" width="12.0"/>
    <col customWidth="1" min="4" max="4" width="14.0"/>
    <col customWidth="1" min="5" max="5" width="13.0"/>
    <col customWidth="1" min="6" max="6" width="16.0"/>
    <col customWidth="1" min="7" max="8" width="24.0"/>
    <col customWidth="1" min="9" max="9" width="18.0"/>
    <col customWidth="1" min="10" max="26" width="8.71"/>
  </cols>
  <sheetData>
    <row r="1" ht="24.0" customHeight="1">
      <c r="A1" s="1" t="s">
        <v>85</v>
      </c>
    </row>
    <row r="3" ht="31.5" customHeight="1">
      <c r="A3" s="4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14</v>
      </c>
    </row>
    <row r="4" ht="42.0" customHeight="1">
      <c r="A4" s="6" t="s">
        <v>132</v>
      </c>
      <c r="B4" s="8" t="s">
        <v>134</v>
      </c>
      <c r="C4" s="9" t="s">
        <v>25</v>
      </c>
      <c r="D4" s="11">
        <v>46373.0</v>
      </c>
      <c r="E4" s="14" t="s">
        <v>30</v>
      </c>
      <c r="F4" s="16"/>
      <c r="G4" s="8" t="s">
        <v>142</v>
      </c>
      <c r="H4" s="8"/>
      <c r="I4" s="16"/>
    </row>
    <row r="5" ht="42.0" customHeight="1">
      <c r="A5" s="6" t="s">
        <v>145</v>
      </c>
      <c r="B5" s="8" t="s">
        <v>147</v>
      </c>
      <c r="C5" s="9" t="s">
        <v>25</v>
      </c>
      <c r="D5" s="11">
        <v>46377.0</v>
      </c>
      <c r="E5" s="14" t="s">
        <v>30</v>
      </c>
      <c r="F5" s="16"/>
      <c r="G5" s="8" t="s">
        <v>151</v>
      </c>
      <c r="H5" s="8"/>
      <c r="I5" s="16"/>
    </row>
    <row r="6" ht="42.0" customHeight="1">
      <c r="A6" s="6" t="s">
        <v>154</v>
      </c>
      <c r="B6" s="8" t="s">
        <v>156</v>
      </c>
      <c r="C6" s="9" t="s">
        <v>25</v>
      </c>
      <c r="D6" s="11">
        <v>46380.0</v>
      </c>
      <c r="E6" s="14" t="s">
        <v>30</v>
      </c>
      <c r="F6" s="16"/>
      <c r="G6" s="8" t="s">
        <v>160</v>
      </c>
      <c r="H6" s="23" t="s">
        <v>163</v>
      </c>
      <c r="I6" s="16"/>
    </row>
    <row r="7" ht="42.0" customHeight="1">
      <c r="A7" s="6" t="s">
        <v>166</v>
      </c>
      <c r="B7" s="8" t="s">
        <v>168</v>
      </c>
      <c r="C7" s="9" t="s">
        <v>25</v>
      </c>
      <c r="D7" s="11">
        <v>46387.0</v>
      </c>
      <c r="E7" s="14" t="s">
        <v>30</v>
      </c>
      <c r="F7" s="16"/>
      <c r="G7" s="8" t="s">
        <v>173</v>
      </c>
      <c r="H7" s="8"/>
      <c r="I7" s="16"/>
    </row>
    <row r="8" ht="42.0" customHeight="1">
      <c r="A8" s="6" t="s">
        <v>176</v>
      </c>
      <c r="B8" s="8" t="s">
        <v>178</v>
      </c>
      <c r="C8" s="9" t="s">
        <v>25</v>
      </c>
      <c r="D8" s="11">
        <v>46391.0</v>
      </c>
      <c r="E8" s="14" t="s">
        <v>30</v>
      </c>
      <c r="F8" s="16"/>
      <c r="G8" s="8" t="s">
        <v>182</v>
      </c>
      <c r="H8" s="8"/>
      <c r="I8" s="16"/>
    </row>
    <row r="9" ht="42.0" customHeight="1">
      <c r="A9" s="6" t="s">
        <v>185</v>
      </c>
      <c r="B9" s="8" t="s">
        <v>187</v>
      </c>
      <c r="C9" s="9" t="s">
        <v>25</v>
      </c>
      <c r="D9" s="11">
        <v>46394.0</v>
      </c>
      <c r="E9" s="14" t="s">
        <v>30</v>
      </c>
      <c r="F9" s="16"/>
      <c r="G9" s="8" t="s">
        <v>189</v>
      </c>
      <c r="H9" s="8"/>
      <c r="I9" s="16"/>
    </row>
    <row r="10" ht="42.0" customHeight="1">
      <c r="A10" s="6" t="s">
        <v>190</v>
      </c>
      <c r="B10" s="8" t="s">
        <v>191</v>
      </c>
      <c r="C10" s="9" t="s">
        <v>25</v>
      </c>
      <c r="D10" s="11">
        <v>46395.0</v>
      </c>
      <c r="E10" s="14" t="s">
        <v>30</v>
      </c>
      <c r="F10" s="16"/>
      <c r="G10" s="8" t="s">
        <v>194</v>
      </c>
      <c r="H10" s="8"/>
      <c r="I10" s="16"/>
    </row>
    <row r="11" ht="42.0" customHeight="1">
      <c r="A11" s="20" t="s">
        <v>195</v>
      </c>
      <c r="B11" s="22" t="s">
        <v>196</v>
      </c>
      <c r="C11" s="24" t="s">
        <v>103</v>
      </c>
      <c r="D11" s="25">
        <v>46398.0</v>
      </c>
      <c r="E11" s="26" t="s">
        <v>111</v>
      </c>
      <c r="F11" s="27"/>
      <c r="G11" s="22" t="s">
        <v>197</v>
      </c>
      <c r="H11" s="22"/>
      <c r="I11" s="27"/>
    </row>
    <row r="13">
      <c r="A13" s="21" t="s">
        <v>118</v>
      </c>
      <c r="C13" s="28">
        <f>COUNTA(A4:A11)</f>
        <v>8</v>
      </c>
    </row>
    <row r="14">
      <c r="A14" s="21" t="s">
        <v>125</v>
      </c>
      <c r="C14" s="28">
        <f>COUNTIF(E4:E11,"Completed")</f>
        <v>0</v>
      </c>
    </row>
    <row r="15">
      <c r="A15" s="21" t="s">
        <v>126</v>
      </c>
      <c r="C15" s="28">
        <f>COUNTIF(E4:E11,"Delayed")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fitToHeight="0" orientation="landscape"/>
  <drawing r:id="rId1"/>
</worksheet>
</file>