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M0" sheetId="2" state="visible" r:id="rId4"/>
    <sheet name="M1" sheetId="3" state="visible" r:id="rId5"/>
    <sheet name="M2" sheetId="4" state="visible" r:id="rId6"/>
    <sheet name="M3" sheetId="5" state="visible" r:id="rId7"/>
    <sheet name="M4" sheetId="6" state="visible" r:id="rId8"/>
    <sheet name="M5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<sst xmlns="http://schemas.openxmlformats.org/spreadsheetml/2006/main" count="374" uniqueCount="195">
  <si>
    <t xml:space="preserve">Urban Flood &amp; Waterlogging Early Warning System — Project Plan (Pune Pilot)</t>
  </si>
  <si>
    <t xml:space="preserve">Owner: Shauny — B.Tech CSE, Final Year, MIT-WPU  |  Plan generated: 22-Aug-2026  |  All dates below are planned targets, adjusted as the project actually progresses</t>
  </si>
  <si>
    <t xml:space="preserve">Milestone Name</t>
  </si>
  <si>
    <t xml:space="preserve">Objective</t>
  </si>
  <si>
    <t xml:space="preserve">Start Date</t>
  </si>
  <si>
    <t xml:space="preserve">Target End Date</t>
  </si>
  <si>
    <t xml:space="preserve">Demo Date</t>
  </si>
  <si>
    <t xml:space="preserve">Status</t>
  </si>
  <si>
    <t xml:space="preserve">Milestone Tab</t>
  </si>
  <si>
    <t xml:space="preserve">M0 — Discovery &amp; Feasibility</t>
  </si>
  <si>
    <t xml:space="preserve">Define the problem, validate feasibility (technical/operational/economic/schedule/legal), and run a proof of concept on real Khadakwasla discharge data before writing any product code.</t>
  </si>
  <si>
    <t xml:space="preserve">Completed</t>
  </si>
  <si>
    <t xml:space="preserve">M0</t>
  </si>
  <si>
    <t xml:space="preserve">M1 — Data Foundation &amp; Ward-Level Risk Engine</t>
  </si>
  <si>
    <t xml:space="preserve">Stand up the data pipeline (rainfall + ward boundaries + elevation) and build a first working ward-level flood risk model.</t>
  </si>
  <si>
    <t xml:space="preserve">Not Started</t>
  </si>
  <si>
    <t xml:space="preserve">M1</t>
  </si>
  <si>
    <t xml:space="preserve">M2 — River-Corridor Model &amp; Database Layer</t>
  </si>
  <si>
    <t xml:space="preserve">Wire up PostgreSQL + PostGIS + TimescaleDB, and add the Khadakwasla discharge threshold rule as a second, connected risk signal.</t>
  </si>
  <si>
    <t xml:space="preserve">M2</t>
  </si>
  <si>
    <t xml:space="preserve">M3 — API Layer &amp; Alerting</t>
  </si>
  <si>
    <t xml:space="preserve">Expose the risk engine through a real API and build the alert/escalation pipeline (SMS/WhatsApp), mapped to PCMC's existing L0–L4 alert scale.</t>
  </si>
  <si>
    <t xml:space="preserve">M3</t>
  </si>
  <si>
    <t xml:space="preserve">M4 — Citizen &amp; Authority Dashboard</t>
  </si>
  <si>
    <t xml:space="preserve">Build the React PWA — a city-wide risk view first, with ward-level drill-down, citizen safe-route alerts, and an authority-facing EOC view.</t>
  </si>
  <si>
    <t xml:space="preserve">M4</t>
  </si>
  <si>
    <t xml:space="preserve">M5 — Containerization &amp; Pilot Deployment</t>
  </si>
  <si>
    <t xml:space="preserve">Containerize every service, deploy to a real k3s cluster on Oracle Cloud's free tier, and run a live end-to-end pilot test.</t>
  </si>
  <si>
    <t xml:space="preserve">M5</t>
  </si>
  <si>
    <t xml:space="preserve">SUMMARY</t>
  </si>
  <si>
    <t xml:space="preserve">Total Milestones</t>
  </si>
  <si>
    <t xml:space="preserve">Milestones Completed</t>
  </si>
  <si>
    <t xml:space="preserve">Project Start</t>
  </si>
  <si>
    <t xml:space="preserve">Planned Project End (Final Demo)</t>
  </si>
  <si>
    <t xml:space="preserve">Note: M5 spans the Dec–Jan holiday period — a real schedule risk, flagged here deliberately rather than glossed over. See M5 tab.</t>
  </si>
  <si>
    <t xml:space="preserve">M0 — Discovery &amp; Feasibility (Completed)</t>
  </si>
  <si>
    <t xml:space="preserve">Task Name</t>
  </si>
  <si>
    <t xml:space="preserve">Task Description</t>
  </si>
  <si>
    <t xml:space="preserve">Owner</t>
  </si>
  <si>
    <t xml:space="preserve">Target Date</t>
  </si>
  <si>
    <t xml:space="preserve">Actual Completion Date</t>
  </si>
  <si>
    <t xml:space="preserve">Dependency</t>
  </si>
  <si>
    <t xml:space="preserve">Delay Reason (if any)</t>
  </si>
  <si>
    <t xml:space="preserve">Revised Target Date (if any)</t>
  </si>
  <si>
    <t xml:space="preserve">Define &amp; refine problem statement</t>
  </si>
  <si>
    <t xml:space="preserve">Initial ward-level waterlogging framing, refined into a two-source model (rainfall + Khadakwasla river-corridor discharge).</t>
  </si>
  <si>
    <t xml:space="preserve">Shauny</t>
  </si>
  <si>
    <t xml:space="preserve">None</t>
  </si>
  <si>
    <t xml:space="preserve">Technical feasibility research</t>
  </si>
  <si>
    <t xml:space="preserve">Evaluated IMD API, data.gov.in, opencity.in for rainfall; bharatlas &amp; PMC for ward boundaries; picked primary sources.</t>
  </si>
  <si>
    <t xml:space="preserve">Problem statement</t>
  </si>
  <si>
    <t xml:space="preserve">Operational feasibility research</t>
  </si>
  <si>
    <t xml:space="preserve">Researched how PMC/PCMC control rooms actually operate (multi-agency, radio/phone-first, L0–L4 alert scale) to design around real adoption behavior.</t>
  </si>
  <si>
    <t xml:space="preserve">Economic feasibility — cost model</t>
  </si>
  <si>
    <t xml:space="preserve">Built single-city vs. state-level monthly cost tables (compute, DB, SMS, monitoring).</t>
  </si>
  <si>
    <t xml:space="preserve">Legal feasibility — DPDP Act 2023 review</t>
  </si>
  <si>
    <t xml:space="preserve">Reviewed consent, purpose limitation, storage limitation, and breach-notification obligations relevant to citizen-submitted flood reports.</t>
  </si>
  <si>
    <t xml:space="preserve">Ward boundary data sourcing &amp; fix</t>
  </si>
  <si>
    <t xml:space="preserve">Downloaded Pune ward GeoJSON; found and fixed a real lat/lon coordinate-order bug with a custom recursive script.</t>
  </si>
  <si>
    <t xml:space="preserve">Technical feasibility</t>
  </si>
  <si>
    <t xml:space="preserve">Source data had swapped coordinates — caught during visual verification, not a schedule delay.</t>
  </si>
  <si>
    <t xml:space="preserve">Proof of Concept — Khadakwasla discharge analysis</t>
  </si>
  <si>
    <t xml:space="preserve">Collected 6 real historical discharge events and cross-referenced against reported flooding; found a ~25k cusec threshold pattern.</t>
  </si>
  <si>
    <t xml:space="preserve">Ward boundary data</t>
  </si>
  <si>
    <t xml:space="preserve">Tech stack finalization</t>
  </si>
  <si>
    <t xml:space="preserve">Finalized Python/FastAPI, Postgres+PostGIS+TimescaleDB, Node/Express, Redis, React PWA, Docker+k3s, Oracle Cloud, Prometheus+Grafana.</t>
  </si>
  <si>
    <t xml:space="preserve">Repo skeleton created</t>
  </si>
  <si>
    <t xml:space="preserve">Set up monorepo folders (ingestion/, risk-engine/, api/, alerting/, dashboard/) and root docker-compose.yml placeholder.</t>
  </si>
  <si>
    <t xml:space="preserve">M0 Demo — College Progress Evaluation</t>
  </si>
  <si>
    <t xml:space="preserve">5-minute presentation covering problem statement, timeline, tech stack, and problem-solving/innovation for graded internal evaluation.</t>
  </si>
  <si>
    <t xml:space="preserve">Shauny + Mentor</t>
  </si>
  <si>
    <t xml:space="preserve">Scheduled</t>
  </si>
  <si>
    <t xml:space="preserve">All above M0 tasks</t>
  </si>
  <si>
    <t xml:space="preserve">Tasks in this milestone:</t>
  </si>
  <si>
    <t xml:space="preserve">Completed:</t>
  </si>
  <si>
    <t xml:space="preserve">Delayed:</t>
  </si>
  <si>
    <t xml:space="preserve">Set up Python environment</t>
  </si>
  <si>
    <t xml:space="preserve">Create virtual environment; install pandas, geopandas, scikit-learn, rasterio.</t>
  </si>
  <si>
    <t xml:space="preserve">Load &amp; clean rainfall dataset</t>
  </si>
  <si>
    <t xml:space="preserve">Merge data.gov.in (2021–25) and opencity.in (1980–2019) rainfall data into one clean dataset.</t>
  </si>
  <si>
    <t xml:space="preserve">Python environment</t>
  </si>
  <si>
    <t xml:space="preserve">Load ward boundaries into geopandas</t>
  </si>
  <si>
    <t xml:space="preserve">Load fixed ward GeoJSON; validate spatial joins against known Pune landmarks.</t>
  </si>
  <si>
    <t xml:space="preserve">Source &amp; integrate elevation data</t>
  </si>
  <si>
    <t xml:space="preserve">Pull SRTM/Bhuvan elevation data for Pune; join to ward polygons.</t>
  </si>
  <si>
    <t xml:space="preserve">Ward boundaries loaded</t>
  </si>
  <si>
    <t xml:space="preserve">Feature engineering</t>
  </si>
  <si>
    <t xml:space="preserve">Build features: rainfall intensity, ward elevation, historical incident count per ward.</t>
  </si>
  <si>
    <t xml:space="preserve">Rainfall data, elevation data</t>
  </si>
  <si>
    <t xml:space="preserve">Build baseline ward-level risk model</t>
  </si>
  <si>
    <t xml:space="preserve">First working version of the rainfall/drainage risk-scoring model (rule-based or simple regression).</t>
  </si>
  <si>
    <t xml:space="preserve">Backtest against known flood events</t>
  </si>
  <si>
    <t xml:space="preserve">Validate model output against historically known flooded wards (sanity check, not full accuracy testing).</t>
  </si>
  <si>
    <t xml:space="preserve">Baseline risk model</t>
  </si>
  <si>
    <t xml:space="preserve">Document M1 findings &amp; prep demo</t>
  </si>
  <si>
    <t xml:space="preserve">Write up what worked, what didn't, and prepare the milestone demo.</t>
  </si>
  <si>
    <t xml:space="preserve">Backtest complete</t>
  </si>
  <si>
    <t xml:space="preserve">M1 Demo</t>
  </si>
  <si>
    <t xml:space="preserve">Show working ward-level risk engine on real Pune data to mentor.</t>
  </si>
  <si>
    <t xml:space="preserve">All above M1 tasks</t>
  </si>
  <si>
    <t xml:space="preserve">Set up PostgreSQL + PostGIS + TimescaleDB</t>
  </si>
  <si>
    <t xml:space="preserve">Run as a Docker container locally; confirm extensions load correctly.</t>
  </si>
  <si>
    <t xml:space="preserve">M1 complete</t>
  </si>
  <si>
    <t xml:space="preserve">Design database schema</t>
  </si>
  <si>
    <t xml:space="preserve">Tables for wards, rainfall readings, discharge events, and risk scores.</t>
  </si>
  <si>
    <t xml:space="preserve">Database set up</t>
  </si>
  <si>
    <t xml:space="preserve">Migrate data into the database</t>
  </si>
  <si>
    <t xml:space="preserve">Load ward boundaries, rainfall history, and POC discharge events into the schema.</t>
  </si>
  <si>
    <t xml:space="preserve">Schema designed</t>
  </si>
  <si>
    <t xml:space="preserve">Build river-corridor threshold rule</t>
  </si>
  <si>
    <t xml:space="preserve">Rule-based scoring using the POC finding: ~25k+ cusecs → flag Ekta Nagar/Shivne/Bhimnagar as high-risk.</t>
  </si>
  <si>
    <t xml:space="preserve">Data migrated</t>
  </si>
  <si>
    <t xml:space="preserve">Combine ward model + river-corridor rule</t>
  </si>
  <si>
    <t xml:space="preserve">Merge M1's ward-level model with the discharge threshold rule into one composite city-wide + ward risk score.</t>
  </si>
  <si>
    <t xml:space="preserve">River-corridor rule, M1 risk model</t>
  </si>
  <si>
    <t xml:space="preserve">Write validation tests</t>
  </si>
  <si>
    <t xml:space="preserve">Test composite risk score output against the 6 known POC events — confirm it flags them correctly.</t>
  </si>
  <si>
    <t xml:space="preserve">Composite score built</t>
  </si>
  <si>
    <t xml:space="preserve">Document M2 findings &amp; prep demo</t>
  </si>
  <si>
    <t xml:space="preserve">Write up the composite model's behavior and prepare the milestone demo.</t>
  </si>
  <si>
    <t xml:space="preserve">Validation tests complete</t>
  </si>
  <si>
    <t xml:space="preserve">M2 Demo</t>
  </si>
  <si>
    <t xml:space="preserve">Show the composite ward + river-corridor risk score, backed by the database, to mentor.</t>
  </si>
  <si>
    <t xml:space="preserve">All above M2 tasks</t>
  </si>
  <si>
    <t xml:space="preserve">Build FastAPI risk-engine service</t>
  </si>
  <si>
    <t xml:space="preserve">Wrap the risk engine in a FastAPI service that reads from the database and returns scores.</t>
  </si>
  <si>
    <t xml:space="preserve">M2 complete</t>
  </si>
  <si>
    <t xml:space="preserve">Build Node/Express backend</t>
  </si>
  <si>
    <t xml:space="preserve">General API + auth layer, built in parallel with the FastAPI service.</t>
  </si>
  <si>
    <t xml:space="preserve">Connect FastAPI service to Node backend</t>
  </si>
  <si>
    <t xml:space="preserve">Node backend calls the FastAPI risk service internally.</t>
  </si>
  <si>
    <t xml:space="preserve">FastAPI service, Node backend</t>
  </si>
  <si>
    <t xml:space="preserve">Set up Redis queue + worker</t>
  </si>
  <si>
    <t xml:space="preserve">Lightweight queue for dispatching alerts asynchronously.</t>
  </si>
  <si>
    <t xml:space="preserve">Backend connected</t>
  </si>
  <si>
    <t xml:space="preserve">Integrate SMS/WhatsApp gateway (sandbox)</t>
  </si>
  <si>
    <t xml:space="preserve">Connect a test-mode SMS/WhatsApp gateway API for alert delivery.</t>
  </si>
  <si>
    <t xml:space="preserve">Redis queue set up</t>
  </si>
  <si>
    <t xml:space="preserve">Map alert thresholds to PCMC L0–L4 scale</t>
  </si>
  <si>
    <t xml:space="preserve">Calibrate risk levels to match PCMC's existing alert protocol instead of inventing a new scale.</t>
  </si>
  <si>
    <t xml:space="preserve">SMS/WhatsApp gateway</t>
  </si>
  <si>
    <t xml:space="preserve">End-to-end alert test</t>
  </si>
  <si>
    <t xml:space="preserve">Simulate a high-discharge event and confirm an alert is actually sent end-to-end.</t>
  </si>
  <si>
    <t xml:space="preserve">Alert thresholds mapped</t>
  </si>
  <si>
    <t xml:space="preserve">M3 Demo</t>
  </si>
  <si>
    <t xml:space="preserve">Show a live simulated alert flowing from risk engine → API → queue → SMS, to mentor.</t>
  </si>
  <si>
    <t xml:space="preserve">All above M3 tasks</t>
  </si>
  <si>
    <t xml:space="preserve">Set up React + PWA project</t>
  </si>
  <si>
    <t xml:space="preserve">Initialize the frontend project with PWA configuration (installable, offline-friendly).</t>
  </si>
  <si>
    <t xml:space="preserve">M3 complete</t>
  </si>
  <si>
    <t xml:space="preserve">Build city-wide risk view</t>
  </si>
  <si>
    <t xml:space="preserve">Primary landing view — one composite Pune-wide risk status, not a ward list first.</t>
  </si>
  <si>
    <t xml:space="preserve">React/PWA setup, M3 API</t>
  </si>
  <si>
    <t xml:space="preserve">Build ward-level drill-down view</t>
  </si>
  <si>
    <t xml:space="preserve">Secondary detail view for individual ward risk scores.</t>
  </si>
  <si>
    <t xml:space="preserve">City-wide view</t>
  </si>
  <si>
    <t xml:space="preserve">Build citizen alert &amp; safe-route UI</t>
  </si>
  <si>
    <t xml:space="preserve">Citizen-facing alert display with suggested alternate routes.</t>
  </si>
  <si>
    <t xml:space="preserve">Ward-level view</t>
  </si>
  <si>
    <t xml:space="preserve">Build authority (EOC) dashboard view</t>
  </si>
  <si>
    <t xml:space="preserve">Officer-facing view highlighting high-risk wards and dispatch status.</t>
  </si>
  <si>
    <t xml:space="preserve">Build citizen-reported flooding form</t>
  </si>
  <si>
    <t xml:space="preserve">Simple geo-tagged “report flooding here” submission, feeding into the data confidence layer.</t>
  </si>
  <si>
    <t xml:space="preserve">Citizen alert UI</t>
  </si>
  <si>
    <t xml:space="preserve">Wire up auth (citizen vs. officer roles)</t>
  </si>
  <si>
    <t xml:space="preserve">Basic login/role separation using the Node/Express auth layer from M3.</t>
  </si>
  <si>
    <t xml:space="preserve">M3 backend, dashboard views</t>
  </si>
  <si>
    <t xml:space="preserve">M4 Demo</t>
  </si>
  <si>
    <t xml:space="preserve">Walk mentor through the full citizen + authority dashboard experience.</t>
  </si>
  <si>
    <t xml:space="preserve">All above M4 tasks</t>
  </si>
  <si>
    <t xml:space="preserve">Write Dockerfiles for every service</t>
  </si>
  <si>
    <t xml:space="preserve">One Dockerfile per microservice (risk engine, backend, alerting, dashboard).</t>
  </si>
  <si>
    <t xml:space="preserve">M4 complete</t>
  </si>
  <si>
    <t xml:space="preserve">Docker Compose full integration test</t>
  </si>
  <si>
    <t xml:space="preserve">Run every service together locally via Docker Compose; fix integration issues.</t>
  </si>
  <si>
    <t xml:space="preserve">Dockerfiles written</t>
  </si>
  <si>
    <t xml:space="preserve">Provision Oracle Cloud + k3s cluster</t>
  </si>
  <si>
    <t xml:space="preserve">Set up Oracle Cloud Always Free tier account and a working k3s cluster.</t>
  </si>
  <si>
    <t xml:space="preserve">None (can run in parallel)</t>
  </si>
  <si>
    <t xml:space="preserve">Falls during winter break — buffer built into the following task's date.</t>
  </si>
  <si>
    <t xml:space="preserve">Deploy all services to k3s</t>
  </si>
  <si>
    <t xml:space="preserve">Deploy the full containerized stack to the production cluster.</t>
  </si>
  <si>
    <t xml:space="preserve">Compose test passed, k3s provisioned</t>
  </si>
  <si>
    <t xml:space="preserve">Set up Prometheus + Grafana monitoring</t>
  </si>
  <si>
    <t xml:space="preserve">Basic metrics dashboards for the live deployment.</t>
  </si>
  <si>
    <t xml:space="preserve">Services deployed</t>
  </si>
  <si>
    <t xml:space="preserve">End-to-end live pilot test</t>
  </si>
  <si>
    <t xml:space="preserve">Real data flowing in, a real simulated high-risk event, a real alert sent — on the live deployment.</t>
  </si>
  <si>
    <t xml:space="preserve">Monitoring set up</t>
  </si>
  <si>
    <t xml:space="preserve">Final documentation</t>
  </si>
  <si>
    <t xml:space="preserve">Write up the full pilot — architecture, decisions, known limitations, and future roadmap (Phases 2–4).</t>
  </si>
  <si>
    <t xml:space="preserve">Live pilot test passed</t>
  </si>
  <si>
    <t xml:space="preserve">Final Pilot Demo</t>
  </si>
  <si>
    <t xml:space="preserve">Present the complete, live, working Pune pilot to mentor — the internship's core deliverable.</t>
  </si>
  <si>
    <t xml:space="preserve">All above M5 tasks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</si>
</sst>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3D5A"/>
      <name val="Arial"/>
      <family val="0"/>
      <charset val="1"/>
    </font>
    <font>
      <i val="true"/>
      <sz val="9.5"/>
      <color rgb="FF6B72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1C7293"/>
      <name val="Arial"/>
      <family val="0"/>
      <charset val="1"/>
    </font>
    <font>
      <b val="true"/>
      <sz val="10.5"/>
      <color rgb="FF1C3D5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color rgb="FF1C3D5A"/>
      <name val="Arial"/>
      <family val="0"/>
      <charset val="1"/>
    </font>
    <font>
      <sz val="10"/>
      <color rgb="FF000000"/>
      <name val="Arial"/>
      <family val="0"/>
      <charset val="1"/>
    </font>
    <font>
      <sz val="9.5"/>
      <color rgb="FFB039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3D5A"/>
        <bgColor rgb="FF333333"/>
      </patternFill>
    </fill>
    <fill>
      <patternFill patternType="solid">
        <fgColor rgb="FF2A9D8F"/>
        <bgColor rgb="FF008080"/>
      </patternFill>
    </fill>
    <fill>
      <patternFill patternType="solid">
        <fgColor rgb="FF9CA3AF"/>
        <bgColor rgb="FF9999FF"/>
      </patternFill>
    </fill>
    <fill>
      <patternFill patternType="solid">
        <fgColor rgb="FFDFF3F1"/>
        <bgColor rgb="FFCCFFFF"/>
      </patternFill>
    </fill>
    <fill>
      <patternFill patternType="solid">
        <fgColor rgb="FF1C729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FFFFCC"/>
      <rgbColor rgb="FFDFF3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1C3D5A"/>
      <rgbColor rgb="FF2A9D8F"/>
      <rgbColor rgb="FF003300"/>
      <rgbColor rgb="FF333300"/>
      <rgbColor rgb="FFB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5.75" hidden="false" customHeight="true" outlineLevel="0" collapsed="false">
      <c r="A5" s="4" t="s">
        <v>9</v>
      </c>
      <c r="B5" s="5" t="s">
        <v>10</v>
      </c>
      <c r="C5" s="6" t="n">
        <v>46223</v>
      </c>
      <c r="D5" s="6" t="n">
        <v>46255</v>
      </c>
      <c r="E5" s="6" t="n">
        <v>46256</v>
      </c>
      <c r="F5" s="7" t="s">
        <v>11</v>
      </c>
      <c r="G5" s="8" t="s">
        <v>12</v>
      </c>
    </row>
    <row r="6" customFormat="false" ht="45.75" hidden="false" customHeight="true" outlineLevel="0" collapsed="false">
      <c r="A6" s="4" t="s">
        <v>13</v>
      </c>
      <c r="B6" s="5" t="s">
        <v>14</v>
      </c>
      <c r="C6" s="6" t="n">
        <v>46258</v>
      </c>
      <c r="D6" s="6" t="n">
        <v>46283</v>
      </c>
      <c r="E6" s="6" t="n">
        <v>46286</v>
      </c>
      <c r="F6" s="9" t="s">
        <v>15</v>
      </c>
      <c r="G6" s="8" t="s">
        <v>16</v>
      </c>
    </row>
    <row r="7" customFormat="false" ht="45.75" hidden="false" customHeight="true" outlineLevel="0" collapsed="false">
      <c r="A7" s="4" t="s">
        <v>17</v>
      </c>
      <c r="B7" s="5" t="s">
        <v>18</v>
      </c>
      <c r="C7" s="6" t="n">
        <v>46287</v>
      </c>
      <c r="D7" s="6" t="n">
        <v>46311</v>
      </c>
      <c r="E7" s="6" t="n">
        <v>46314</v>
      </c>
      <c r="F7" s="9" t="s">
        <v>15</v>
      </c>
      <c r="G7" s="8" t="s">
        <v>19</v>
      </c>
    </row>
    <row r="8" customFormat="false" ht="45.75" hidden="false" customHeight="true" outlineLevel="0" collapsed="false">
      <c r="A8" s="4" t="s">
        <v>20</v>
      </c>
      <c r="B8" s="5" t="s">
        <v>21</v>
      </c>
      <c r="C8" s="6" t="n">
        <v>46315</v>
      </c>
      <c r="D8" s="6" t="n">
        <v>46339</v>
      </c>
      <c r="E8" s="6" t="n">
        <v>46342</v>
      </c>
      <c r="F8" s="9" t="s">
        <v>15</v>
      </c>
      <c r="G8" s="8" t="s">
        <v>22</v>
      </c>
    </row>
    <row r="9" customFormat="false" ht="45.75" hidden="false" customHeight="true" outlineLevel="0" collapsed="false">
      <c r="A9" s="4" t="s">
        <v>23</v>
      </c>
      <c r="B9" s="5" t="s">
        <v>24</v>
      </c>
      <c r="C9" s="6" t="n">
        <v>46343</v>
      </c>
      <c r="D9" s="6" t="n">
        <v>46367</v>
      </c>
      <c r="E9" s="6" t="n">
        <v>46370</v>
      </c>
      <c r="F9" s="9" t="s">
        <v>15</v>
      </c>
      <c r="G9" s="8" t="s">
        <v>25</v>
      </c>
    </row>
    <row r="10" customFormat="false" ht="45.75" hidden="false" customHeight="true" outlineLevel="0" collapsed="false">
      <c r="A10" s="4" t="s">
        <v>26</v>
      </c>
      <c r="B10" s="5" t="s">
        <v>27</v>
      </c>
      <c r="C10" s="6" t="n">
        <v>46371</v>
      </c>
      <c r="D10" s="6" t="n">
        <v>46395</v>
      </c>
      <c r="E10" s="6" t="n">
        <v>46398</v>
      </c>
      <c r="F10" s="9" t="s">
        <v>15</v>
      </c>
      <c r="G10" s="8" t="s">
        <v>28</v>
      </c>
    </row>
    <row r="12" customFormat="false" ht="15" hidden="false" customHeight="false" outlineLevel="0" collapsed="false">
      <c r="A12" s="10" t="s">
        <v>29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1" t="s">
        <v>30</v>
      </c>
      <c r="B13" s="12" t="n">
        <f aca="false">COUNTA(A5:A10)</f>
        <v>6</v>
      </c>
    </row>
    <row r="14" customFormat="false" ht="15" hidden="false" customHeight="false" outlineLevel="0" collapsed="false">
      <c r="A14" s="11" t="s">
        <v>31</v>
      </c>
      <c r="B14" s="12" t="n">
        <f aca="false">COUNTIF(F5:F10,"Completed")</f>
        <v>1</v>
      </c>
    </row>
    <row r="15" customFormat="false" ht="15" hidden="false" customHeight="false" outlineLevel="0" collapsed="false">
      <c r="A15" s="11" t="s">
        <v>32</v>
      </c>
      <c r="B15" s="13" t="n">
        <f aca="false">MIN(C5:C10)</f>
        <v>46223</v>
      </c>
    </row>
    <row r="16" customFormat="false" ht="15" hidden="false" customHeight="false" outlineLevel="0" collapsed="false">
      <c r="A16" s="11" t="s">
        <v>33</v>
      </c>
      <c r="B16" s="13" t="n">
        <f aca="false">MAX(E5:E10)</f>
        <v>46398</v>
      </c>
    </row>
    <row r="18" customFormat="false" ht="15" hidden="false" customHeight="false" outlineLevel="0" collapsed="false">
      <c r="A18" s="14" t="s">
        <v>34</v>
      </c>
      <c r="B18" s="14"/>
      <c r="C18" s="14"/>
      <c r="D18" s="14"/>
      <c r="E18" s="14"/>
      <c r="F18" s="14"/>
      <c r="G18" s="14"/>
    </row>
  </sheetData>
  <mergeCells count="4">
    <mergeCell ref="A1:G1"/>
    <mergeCell ref="A2:G2"/>
    <mergeCell ref="A12:G1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24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5" t="s">
        <v>35</v>
      </c>
      <c r="B1" s="15"/>
      <c r="C1" s="15"/>
      <c r="D1" s="15"/>
      <c r="E1" s="15"/>
      <c r="F1" s="15"/>
      <c r="G1" s="15"/>
      <c r="H1" s="15"/>
      <c r="I1" s="15"/>
    </row>
    <row r="3" customFormat="false" ht="31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7</v>
      </c>
      <c r="F3" s="3" t="s">
        <v>40</v>
      </c>
      <c r="G3" s="3" t="s">
        <v>41</v>
      </c>
      <c r="H3" s="3" t="s">
        <v>42</v>
      </c>
      <c r="I3" s="3" t="s">
        <v>43</v>
      </c>
    </row>
    <row r="4" customFormat="false" ht="42" hidden="false" customHeight="true" outlineLevel="0" collapsed="false">
      <c r="A4" s="16" t="s">
        <v>44</v>
      </c>
      <c r="B4" s="5" t="s">
        <v>45</v>
      </c>
      <c r="C4" s="17" t="s">
        <v>46</v>
      </c>
      <c r="D4" s="6" t="n">
        <v>46227</v>
      </c>
      <c r="E4" s="7" t="s">
        <v>11</v>
      </c>
      <c r="F4" s="6" t="n">
        <v>46227</v>
      </c>
      <c r="G4" s="5" t="s">
        <v>47</v>
      </c>
      <c r="H4" s="5"/>
      <c r="I4" s="18"/>
    </row>
    <row r="5" customFormat="false" ht="42" hidden="false" customHeight="true" outlineLevel="0" collapsed="false">
      <c r="A5" s="16" t="s">
        <v>48</v>
      </c>
      <c r="B5" s="5" t="s">
        <v>49</v>
      </c>
      <c r="C5" s="17" t="s">
        <v>46</v>
      </c>
      <c r="D5" s="6" t="n">
        <v>46232</v>
      </c>
      <c r="E5" s="7" t="s">
        <v>11</v>
      </c>
      <c r="F5" s="6" t="n">
        <v>46232</v>
      </c>
      <c r="G5" s="5" t="s">
        <v>50</v>
      </c>
      <c r="H5" s="5"/>
      <c r="I5" s="18"/>
    </row>
    <row r="6" customFormat="false" ht="42" hidden="false" customHeight="true" outlineLevel="0" collapsed="false">
      <c r="A6" s="16" t="s">
        <v>51</v>
      </c>
      <c r="B6" s="5" t="s">
        <v>52</v>
      </c>
      <c r="C6" s="17" t="s">
        <v>46</v>
      </c>
      <c r="D6" s="6" t="n">
        <v>46235</v>
      </c>
      <c r="E6" s="7" t="s">
        <v>11</v>
      </c>
      <c r="F6" s="6" t="n">
        <v>46235</v>
      </c>
      <c r="G6" s="5" t="s">
        <v>47</v>
      </c>
      <c r="H6" s="5"/>
      <c r="I6" s="18"/>
    </row>
    <row r="7" customFormat="false" ht="42" hidden="false" customHeight="true" outlineLevel="0" collapsed="false">
      <c r="A7" s="16" t="s">
        <v>53</v>
      </c>
      <c r="B7" s="5" t="s">
        <v>54</v>
      </c>
      <c r="C7" s="17" t="s">
        <v>46</v>
      </c>
      <c r="D7" s="6" t="n">
        <v>46238</v>
      </c>
      <c r="E7" s="7" t="s">
        <v>11</v>
      </c>
      <c r="F7" s="6" t="n">
        <v>46238</v>
      </c>
      <c r="G7" s="5" t="s">
        <v>47</v>
      </c>
      <c r="H7" s="5"/>
      <c r="I7" s="18"/>
    </row>
    <row r="8" customFormat="false" ht="42" hidden="false" customHeight="true" outlineLevel="0" collapsed="false">
      <c r="A8" s="16" t="s">
        <v>55</v>
      </c>
      <c r="B8" s="5" t="s">
        <v>56</v>
      </c>
      <c r="C8" s="17" t="s">
        <v>46</v>
      </c>
      <c r="D8" s="6" t="n">
        <v>46240</v>
      </c>
      <c r="E8" s="7" t="s">
        <v>11</v>
      </c>
      <c r="F8" s="6" t="n">
        <v>46240</v>
      </c>
      <c r="G8" s="5" t="s">
        <v>47</v>
      </c>
      <c r="H8" s="5"/>
      <c r="I8" s="18"/>
    </row>
    <row r="9" customFormat="false" ht="42" hidden="false" customHeight="true" outlineLevel="0" collapsed="false">
      <c r="A9" s="16" t="s">
        <v>57</v>
      </c>
      <c r="B9" s="5" t="s">
        <v>58</v>
      </c>
      <c r="C9" s="17" t="s">
        <v>46</v>
      </c>
      <c r="D9" s="6" t="n">
        <v>46244</v>
      </c>
      <c r="E9" s="7" t="s">
        <v>11</v>
      </c>
      <c r="F9" s="6" t="n">
        <v>46246</v>
      </c>
      <c r="G9" s="5" t="s">
        <v>59</v>
      </c>
      <c r="H9" s="19" t="s">
        <v>60</v>
      </c>
      <c r="I9" s="18"/>
    </row>
    <row r="10" customFormat="false" ht="42" hidden="false" customHeight="true" outlineLevel="0" collapsed="false">
      <c r="A10" s="16" t="s">
        <v>61</v>
      </c>
      <c r="B10" s="5" t="s">
        <v>62</v>
      </c>
      <c r="C10" s="17" t="s">
        <v>46</v>
      </c>
      <c r="D10" s="6" t="n">
        <v>46251</v>
      </c>
      <c r="E10" s="7" t="s">
        <v>11</v>
      </c>
      <c r="F10" s="6" t="n">
        <v>46252</v>
      </c>
      <c r="G10" s="5" t="s">
        <v>63</v>
      </c>
      <c r="H10" s="5"/>
      <c r="I10" s="18"/>
    </row>
    <row r="11" customFormat="false" ht="42" hidden="false" customHeight="true" outlineLevel="0" collapsed="false">
      <c r="A11" s="16" t="s">
        <v>64</v>
      </c>
      <c r="B11" s="5" t="s">
        <v>65</v>
      </c>
      <c r="C11" s="17" t="s">
        <v>46</v>
      </c>
      <c r="D11" s="6" t="n">
        <v>46253</v>
      </c>
      <c r="E11" s="7" t="s">
        <v>11</v>
      </c>
      <c r="F11" s="6" t="n">
        <v>46253</v>
      </c>
      <c r="G11" s="5" t="s">
        <v>47</v>
      </c>
      <c r="H11" s="5"/>
      <c r="I11" s="18"/>
    </row>
    <row r="12" customFormat="false" ht="42" hidden="false" customHeight="true" outlineLevel="0" collapsed="false">
      <c r="A12" s="16" t="s">
        <v>66</v>
      </c>
      <c r="B12" s="5" t="s">
        <v>67</v>
      </c>
      <c r="C12" s="17" t="s">
        <v>46</v>
      </c>
      <c r="D12" s="6" t="n">
        <v>46254</v>
      </c>
      <c r="E12" s="7" t="s">
        <v>11</v>
      </c>
      <c r="F12" s="6" t="n">
        <v>46254</v>
      </c>
      <c r="G12" s="5" t="s">
        <v>64</v>
      </c>
      <c r="H12" s="5"/>
      <c r="I12" s="18"/>
    </row>
    <row r="13" customFormat="false" ht="42" hidden="false" customHeight="true" outlineLevel="0" collapsed="false">
      <c r="A13" s="20" t="s">
        <v>68</v>
      </c>
      <c r="B13" s="21" t="s">
        <v>69</v>
      </c>
      <c r="C13" s="22" t="s">
        <v>70</v>
      </c>
      <c r="D13" s="23" t="n">
        <v>46256</v>
      </c>
      <c r="E13" s="24" t="s">
        <v>71</v>
      </c>
      <c r="F13" s="25"/>
      <c r="G13" s="21" t="s">
        <v>72</v>
      </c>
      <c r="H13" s="21"/>
      <c r="I13" s="25"/>
    </row>
    <row r="15" customFormat="false" ht="15" hidden="false" customHeight="false" outlineLevel="0" collapsed="false">
      <c r="A15" s="11" t="s">
        <v>73</v>
      </c>
      <c r="C15" s="12" t="n">
        <f aca="false">COUNTA(A4:A13)</f>
        <v>10</v>
      </c>
    </row>
    <row r="16" customFormat="false" ht="15" hidden="false" customHeight="false" outlineLevel="0" collapsed="false">
      <c r="A16" s="11" t="s">
        <v>74</v>
      </c>
      <c r="C16" s="12" t="n">
        <f aca="false">COUNTIF(E4:E13,"Completed")</f>
        <v>9</v>
      </c>
    </row>
    <row r="17" customFormat="false" ht="15" hidden="false" customHeight="false" outlineLevel="0" collapsed="false">
      <c r="A17" s="11" t="s">
        <v>75</v>
      </c>
      <c r="C17" s="12" t="n">
        <f aca="false">COUNTIF(E4:E13,"Delayed")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24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5" t="s">
        <v>13</v>
      </c>
      <c r="B1" s="15"/>
      <c r="C1" s="15"/>
      <c r="D1" s="15"/>
      <c r="E1" s="15"/>
      <c r="F1" s="15"/>
      <c r="G1" s="15"/>
      <c r="H1" s="15"/>
      <c r="I1" s="15"/>
    </row>
    <row r="3" customFormat="false" ht="31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7</v>
      </c>
      <c r="F3" s="3" t="s">
        <v>40</v>
      </c>
      <c r="G3" s="3" t="s">
        <v>41</v>
      </c>
      <c r="H3" s="3" t="s">
        <v>42</v>
      </c>
      <c r="I3" s="3" t="s">
        <v>43</v>
      </c>
    </row>
    <row r="4" customFormat="false" ht="42" hidden="false" customHeight="true" outlineLevel="0" collapsed="false">
      <c r="A4" s="16" t="s">
        <v>76</v>
      </c>
      <c r="B4" s="5" t="s">
        <v>77</v>
      </c>
      <c r="C4" s="17" t="s">
        <v>46</v>
      </c>
      <c r="D4" s="6" t="n">
        <v>46260</v>
      </c>
      <c r="E4" s="9" t="s">
        <v>15</v>
      </c>
      <c r="F4" s="18"/>
      <c r="G4" s="5" t="s">
        <v>47</v>
      </c>
      <c r="H4" s="5"/>
      <c r="I4" s="18"/>
    </row>
    <row r="5" customFormat="false" ht="42" hidden="false" customHeight="true" outlineLevel="0" collapsed="false">
      <c r="A5" s="16" t="s">
        <v>78</v>
      </c>
      <c r="B5" s="5" t="s">
        <v>79</v>
      </c>
      <c r="C5" s="17" t="s">
        <v>46</v>
      </c>
      <c r="D5" s="6" t="n">
        <v>46263</v>
      </c>
      <c r="E5" s="9" t="s">
        <v>15</v>
      </c>
      <c r="F5" s="18"/>
      <c r="G5" s="5" t="s">
        <v>80</v>
      </c>
      <c r="H5" s="5"/>
      <c r="I5" s="18"/>
    </row>
    <row r="6" customFormat="false" ht="42" hidden="false" customHeight="true" outlineLevel="0" collapsed="false">
      <c r="A6" s="16" t="s">
        <v>81</v>
      </c>
      <c r="B6" s="5" t="s">
        <v>82</v>
      </c>
      <c r="C6" s="17" t="s">
        <v>46</v>
      </c>
      <c r="D6" s="6" t="n">
        <v>46266</v>
      </c>
      <c r="E6" s="9" t="s">
        <v>15</v>
      </c>
      <c r="F6" s="18"/>
      <c r="G6" s="5" t="s">
        <v>80</v>
      </c>
      <c r="H6" s="5"/>
      <c r="I6" s="18"/>
    </row>
    <row r="7" customFormat="false" ht="42" hidden="false" customHeight="true" outlineLevel="0" collapsed="false">
      <c r="A7" s="16" t="s">
        <v>83</v>
      </c>
      <c r="B7" s="5" t="s">
        <v>84</v>
      </c>
      <c r="C7" s="17" t="s">
        <v>46</v>
      </c>
      <c r="D7" s="6" t="n">
        <v>46269</v>
      </c>
      <c r="E7" s="9" t="s">
        <v>15</v>
      </c>
      <c r="F7" s="18"/>
      <c r="G7" s="5" t="s">
        <v>85</v>
      </c>
      <c r="H7" s="5"/>
      <c r="I7" s="18"/>
    </row>
    <row r="8" customFormat="false" ht="42" hidden="false" customHeight="true" outlineLevel="0" collapsed="false">
      <c r="A8" s="16" t="s">
        <v>86</v>
      </c>
      <c r="B8" s="5" t="s">
        <v>87</v>
      </c>
      <c r="C8" s="17" t="s">
        <v>46</v>
      </c>
      <c r="D8" s="6" t="n">
        <v>46273</v>
      </c>
      <c r="E8" s="9" t="s">
        <v>15</v>
      </c>
      <c r="F8" s="18"/>
      <c r="G8" s="5" t="s">
        <v>88</v>
      </c>
      <c r="H8" s="5"/>
      <c r="I8" s="18"/>
    </row>
    <row r="9" customFormat="false" ht="42" hidden="false" customHeight="true" outlineLevel="0" collapsed="false">
      <c r="A9" s="16" t="s">
        <v>89</v>
      </c>
      <c r="B9" s="5" t="s">
        <v>90</v>
      </c>
      <c r="C9" s="17" t="s">
        <v>46</v>
      </c>
      <c r="D9" s="6" t="n">
        <v>46276</v>
      </c>
      <c r="E9" s="9" t="s">
        <v>15</v>
      </c>
      <c r="F9" s="18"/>
      <c r="G9" s="5" t="s">
        <v>86</v>
      </c>
      <c r="H9" s="5"/>
      <c r="I9" s="18"/>
    </row>
    <row r="10" customFormat="false" ht="42" hidden="false" customHeight="true" outlineLevel="0" collapsed="false">
      <c r="A10" s="16" t="s">
        <v>91</v>
      </c>
      <c r="B10" s="5" t="s">
        <v>92</v>
      </c>
      <c r="C10" s="17" t="s">
        <v>46</v>
      </c>
      <c r="D10" s="6" t="n">
        <v>46280</v>
      </c>
      <c r="E10" s="9" t="s">
        <v>15</v>
      </c>
      <c r="F10" s="18"/>
      <c r="G10" s="5" t="s">
        <v>93</v>
      </c>
      <c r="H10" s="5"/>
      <c r="I10" s="18"/>
    </row>
    <row r="11" customFormat="false" ht="42" hidden="false" customHeight="true" outlineLevel="0" collapsed="false">
      <c r="A11" s="16" t="s">
        <v>94</v>
      </c>
      <c r="B11" s="5" t="s">
        <v>95</v>
      </c>
      <c r="C11" s="17" t="s">
        <v>46</v>
      </c>
      <c r="D11" s="6" t="n">
        <v>46282</v>
      </c>
      <c r="E11" s="9" t="s">
        <v>15</v>
      </c>
      <c r="F11" s="18"/>
      <c r="G11" s="5" t="s">
        <v>96</v>
      </c>
      <c r="H11" s="5"/>
      <c r="I11" s="18"/>
    </row>
    <row r="12" customFormat="false" ht="42" hidden="false" customHeight="true" outlineLevel="0" collapsed="false">
      <c r="A12" s="20" t="s">
        <v>97</v>
      </c>
      <c r="B12" s="21" t="s">
        <v>98</v>
      </c>
      <c r="C12" s="22" t="s">
        <v>70</v>
      </c>
      <c r="D12" s="23" t="n">
        <v>46286</v>
      </c>
      <c r="E12" s="24" t="s">
        <v>71</v>
      </c>
      <c r="F12" s="25"/>
      <c r="G12" s="21" t="s">
        <v>99</v>
      </c>
      <c r="H12" s="21"/>
      <c r="I12" s="25"/>
    </row>
    <row r="14" customFormat="false" ht="15" hidden="false" customHeight="false" outlineLevel="0" collapsed="false">
      <c r="A14" s="11" t="s">
        <v>73</v>
      </c>
      <c r="C14" s="12" t="n">
        <f aca="false">COUNTA(A4:A12)</f>
        <v>9</v>
      </c>
    </row>
    <row r="15" customFormat="false" ht="15" hidden="false" customHeight="false" outlineLevel="0" collapsed="false">
      <c r="A15" s="11" t="s">
        <v>74</v>
      </c>
      <c r="C15" s="12" t="n">
        <f aca="false">COUNTIF(E4:E12,"Completed")</f>
        <v>0</v>
      </c>
    </row>
    <row r="16" customFormat="false" ht="15" hidden="false" customHeight="false" outlineLevel="0" collapsed="false">
      <c r="A16" s="11" t="s">
        <v>75</v>
      </c>
      <c r="C16" s="12" t="n">
        <f aca="false">COUNTIF(E4:E12,"Delayed")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24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5" t="s">
        <v>17</v>
      </c>
      <c r="B1" s="15"/>
      <c r="C1" s="15"/>
      <c r="D1" s="15"/>
      <c r="E1" s="15"/>
      <c r="F1" s="15"/>
      <c r="G1" s="15"/>
      <c r="H1" s="15"/>
      <c r="I1" s="15"/>
    </row>
    <row r="3" customFormat="false" ht="31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7</v>
      </c>
      <c r="F3" s="3" t="s">
        <v>40</v>
      </c>
      <c r="G3" s="3" t="s">
        <v>41</v>
      </c>
      <c r="H3" s="3" t="s">
        <v>42</v>
      </c>
      <c r="I3" s="3" t="s">
        <v>43</v>
      </c>
    </row>
    <row r="4" customFormat="false" ht="42" hidden="false" customHeight="true" outlineLevel="0" collapsed="false">
      <c r="A4" s="16" t="s">
        <v>100</v>
      </c>
      <c r="B4" s="5" t="s">
        <v>101</v>
      </c>
      <c r="C4" s="17" t="s">
        <v>46</v>
      </c>
      <c r="D4" s="6" t="n">
        <v>46289</v>
      </c>
      <c r="E4" s="9" t="s">
        <v>15</v>
      </c>
      <c r="F4" s="18"/>
      <c r="G4" s="5" t="s">
        <v>102</v>
      </c>
      <c r="H4" s="5"/>
      <c r="I4" s="18"/>
    </row>
    <row r="5" customFormat="false" ht="42" hidden="false" customHeight="true" outlineLevel="0" collapsed="false">
      <c r="A5" s="16" t="s">
        <v>103</v>
      </c>
      <c r="B5" s="5" t="s">
        <v>104</v>
      </c>
      <c r="C5" s="17" t="s">
        <v>46</v>
      </c>
      <c r="D5" s="6" t="n">
        <v>46293</v>
      </c>
      <c r="E5" s="9" t="s">
        <v>15</v>
      </c>
      <c r="F5" s="18"/>
      <c r="G5" s="5" t="s">
        <v>105</v>
      </c>
      <c r="H5" s="5"/>
      <c r="I5" s="18"/>
    </row>
    <row r="6" customFormat="false" ht="42" hidden="false" customHeight="true" outlineLevel="0" collapsed="false">
      <c r="A6" s="16" t="s">
        <v>106</v>
      </c>
      <c r="B6" s="5" t="s">
        <v>107</v>
      </c>
      <c r="C6" s="17" t="s">
        <v>46</v>
      </c>
      <c r="D6" s="6" t="n">
        <v>46296</v>
      </c>
      <c r="E6" s="9" t="s">
        <v>15</v>
      </c>
      <c r="F6" s="18"/>
      <c r="G6" s="5" t="s">
        <v>108</v>
      </c>
      <c r="H6" s="5"/>
      <c r="I6" s="18"/>
    </row>
    <row r="7" customFormat="false" ht="42" hidden="false" customHeight="true" outlineLevel="0" collapsed="false">
      <c r="A7" s="16" t="s">
        <v>109</v>
      </c>
      <c r="B7" s="5" t="s">
        <v>110</v>
      </c>
      <c r="C7" s="17" t="s">
        <v>46</v>
      </c>
      <c r="D7" s="6" t="n">
        <v>46300</v>
      </c>
      <c r="E7" s="9" t="s">
        <v>15</v>
      </c>
      <c r="F7" s="18"/>
      <c r="G7" s="5" t="s">
        <v>111</v>
      </c>
      <c r="H7" s="5"/>
      <c r="I7" s="18"/>
    </row>
    <row r="8" customFormat="false" ht="42" hidden="false" customHeight="true" outlineLevel="0" collapsed="false">
      <c r="A8" s="16" t="s">
        <v>112</v>
      </c>
      <c r="B8" s="5" t="s">
        <v>113</v>
      </c>
      <c r="C8" s="17" t="s">
        <v>46</v>
      </c>
      <c r="D8" s="6" t="n">
        <v>46303</v>
      </c>
      <c r="E8" s="9" t="s">
        <v>15</v>
      </c>
      <c r="F8" s="18"/>
      <c r="G8" s="5" t="s">
        <v>114</v>
      </c>
      <c r="H8" s="5"/>
      <c r="I8" s="18"/>
    </row>
    <row r="9" customFormat="false" ht="42" hidden="false" customHeight="true" outlineLevel="0" collapsed="false">
      <c r="A9" s="16" t="s">
        <v>115</v>
      </c>
      <c r="B9" s="5" t="s">
        <v>116</v>
      </c>
      <c r="C9" s="17" t="s">
        <v>46</v>
      </c>
      <c r="D9" s="6" t="n">
        <v>46307</v>
      </c>
      <c r="E9" s="9" t="s">
        <v>15</v>
      </c>
      <c r="F9" s="18"/>
      <c r="G9" s="5" t="s">
        <v>117</v>
      </c>
      <c r="H9" s="5"/>
      <c r="I9" s="18"/>
    </row>
    <row r="10" customFormat="false" ht="42" hidden="false" customHeight="true" outlineLevel="0" collapsed="false">
      <c r="A10" s="16" t="s">
        <v>118</v>
      </c>
      <c r="B10" s="5" t="s">
        <v>119</v>
      </c>
      <c r="C10" s="17" t="s">
        <v>46</v>
      </c>
      <c r="D10" s="6" t="n">
        <v>46310</v>
      </c>
      <c r="E10" s="9" t="s">
        <v>15</v>
      </c>
      <c r="F10" s="18"/>
      <c r="G10" s="5" t="s">
        <v>120</v>
      </c>
      <c r="H10" s="5"/>
      <c r="I10" s="18"/>
    </row>
    <row r="11" customFormat="false" ht="42" hidden="false" customHeight="true" outlineLevel="0" collapsed="false">
      <c r="A11" s="20" t="s">
        <v>121</v>
      </c>
      <c r="B11" s="21" t="s">
        <v>122</v>
      </c>
      <c r="C11" s="22" t="s">
        <v>70</v>
      </c>
      <c r="D11" s="23" t="n">
        <v>46314</v>
      </c>
      <c r="E11" s="24" t="s">
        <v>71</v>
      </c>
      <c r="F11" s="25"/>
      <c r="G11" s="21" t="s">
        <v>123</v>
      </c>
      <c r="H11" s="21"/>
      <c r="I11" s="25"/>
    </row>
    <row r="13" customFormat="false" ht="15" hidden="false" customHeight="false" outlineLevel="0" collapsed="false">
      <c r="A13" s="11" t="s">
        <v>73</v>
      </c>
      <c r="C13" s="12" t="n">
        <f aca="false">COUNTA(A4:A11)</f>
        <v>8</v>
      </c>
    </row>
    <row r="14" customFormat="false" ht="15" hidden="false" customHeight="false" outlineLevel="0" collapsed="false">
      <c r="A14" s="11" t="s">
        <v>74</v>
      </c>
      <c r="C14" s="12" t="n">
        <f aca="false">COUNTIF(E4:E11,"Completed")</f>
        <v>0</v>
      </c>
    </row>
    <row r="15" customFormat="false" ht="15" hidden="false" customHeight="false" outlineLevel="0" collapsed="false">
      <c r="A15" s="11" t="s">
        <v>75</v>
      </c>
      <c r="C15" s="12" t="n">
        <f aca="false">COUNTIF(E4:E11,"Delayed")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24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5" t="s">
        <v>20</v>
      </c>
      <c r="B1" s="15"/>
      <c r="C1" s="15"/>
      <c r="D1" s="15"/>
      <c r="E1" s="15"/>
      <c r="F1" s="15"/>
      <c r="G1" s="15"/>
      <c r="H1" s="15"/>
      <c r="I1" s="15"/>
    </row>
    <row r="3" customFormat="false" ht="31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7</v>
      </c>
      <c r="F3" s="3" t="s">
        <v>40</v>
      </c>
      <c r="G3" s="3" t="s">
        <v>41</v>
      </c>
      <c r="H3" s="3" t="s">
        <v>42</v>
      </c>
      <c r="I3" s="3" t="s">
        <v>43</v>
      </c>
    </row>
    <row r="4" customFormat="false" ht="42" hidden="false" customHeight="true" outlineLevel="0" collapsed="false">
      <c r="A4" s="16" t="s">
        <v>124</v>
      </c>
      <c r="B4" s="5" t="s">
        <v>125</v>
      </c>
      <c r="C4" s="17" t="s">
        <v>46</v>
      </c>
      <c r="D4" s="6" t="n">
        <v>46317</v>
      </c>
      <c r="E4" s="9" t="s">
        <v>15</v>
      </c>
      <c r="F4" s="18"/>
      <c r="G4" s="5" t="s">
        <v>126</v>
      </c>
      <c r="H4" s="5"/>
      <c r="I4" s="18"/>
    </row>
    <row r="5" customFormat="false" ht="42" hidden="false" customHeight="true" outlineLevel="0" collapsed="false">
      <c r="A5" s="16" t="s">
        <v>127</v>
      </c>
      <c r="B5" s="5" t="s">
        <v>128</v>
      </c>
      <c r="C5" s="17" t="s">
        <v>46</v>
      </c>
      <c r="D5" s="6" t="n">
        <v>46321</v>
      </c>
      <c r="E5" s="9" t="s">
        <v>15</v>
      </c>
      <c r="F5" s="18"/>
      <c r="G5" s="5" t="s">
        <v>126</v>
      </c>
      <c r="H5" s="5"/>
      <c r="I5" s="18"/>
    </row>
    <row r="6" customFormat="false" ht="42" hidden="false" customHeight="true" outlineLevel="0" collapsed="false">
      <c r="A6" s="16" t="s">
        <v>129</v>
      </c>
      <c r="B6" s="5" t="s">
        <v>130</v>
      </c>
      <c r="C6" s="17" t="s">
        <v>46</v>
      </c>
      <c r="D6" s="6" t="n">
        <v>46324</v>
      </c>
      <c r="E6" s="9" t="s">
        <v>15</v>
      </c>
      <c r="F6" s="18"/>
      <c r="G6" s="5" t="s">
        <v>131</v>
      </c>
      <c r="H6" s="5"/>
      <c r="I6" s="18"/>
    </row>
    <row r="7" customFormat="false" ht="42" hidden="false" customHeight="true" outlineLevel="0" collapsed="false">
      <c r="A7" s="16" t="s">
        <v>132</v>
      </c>
      <c r="B7" s="5" t="s">
        <v>133</v>
      </c>
      <c r="C7" s="17" t="s">
        <v>46</v>
      </c>
      <c r="D7" s="6" t="n">
        <v>46328</v>
      </c>
      <c r="E7" s="9" t="s">
        <v>15</v>
      </c>
      <c r="F7" s="18"/>
      <c r="G7" s="5" t="s">
        <v>134</v>
      </c>
      <c r="H7" s="5"/>
      <c r="I7" s="18"/>
    </row>
    <row r="8" customFormat="false" ht="42" hidden="false" customHeight="true" outlineLevel="0" collapsed="false">
      <c r="A8" s="16" t="s">
        <v>135</v>
      </c>
      <c r="B8" s="5" t="s">
        <v>136</v>
      </c>
      <c r="C8" s="17" t="s">
        <v>46</v>
      </c>
      <c r="D8" s="6" t="n">
        <v>46331</v>
      </c>
      <c r="E8" s="9" t="s">
        <v>15</v>
      </c>
      <c r="F8" s="18"/>
      <c r="G8" s="5" t="s">
        <v>137</v>
      </c>
      <c r="H8" s="5"/>
      <c r="I8" s="18"/>
    </row>
    <row r="9" customFormat="false" ht="42" hidden="false" customHeight="true" outlineLevel="0" collapsed="false">
      <c r="A9" s="16" t="s">
        <v>138</v>
      </c>
      <c r="B9" s="5" t="s">
        <v>139</v>
      </c>
      <c r="C9" s="17" t="s">
        <v>46</v>
      </c>
      <c r="D9" s="6" t="n">
        <v>46335</v>
      </c>
      <c r="E9" s="9" t="s">
        <v>15</v>
      </c>
      <c r="F9" s="18"/>
      <c r="G9" s="5" t="s">
        <v>140</v>
      </c>
      <c r="H9" s="5"/>
      <c r="I9" s="18"/>
    </row>
    <row r="10" customFormat="false" ht="42" hidden="false" customHeight="true" outlineLevel="0" collapsed="false">
      <c r="A10" s="16" t="s">
        <v>141</v>
      </c>
      <c r="B10" s="5" t="s">
        <v>142</v>
      </c>
      <c r="C10" s="17" t="s">
        <v>46</v>
      </c>
      <c r="D10" s="6" t="n">
        <v>46338</v>
      </c>
      <c r="E10" s="9" t="s">
        <v>15</v>
      </c>
      <c r="F10" s="18"/>
      <c r="G10" s="5" t="s">
        <v>143</v>
      </c>
      <c r="H10" s="5"/>
      <c r="I10" s="18"/>
    </row>
    <row r="11" customFormat="false" ht="42" hidden="false" customHeight="true" outlineLevel="0" collapsed="false">
      <c r="A11" s="20" t="s">
        <v>144</v>
      </c>
      <c r="B11" s="21" t="s">
        <v>145</v>
      </c>
      <c r="C11" s="22" t="s">
        <v>70</v>
      </c>
      <c r="D11" s="23" t="n">
        <v>46342</v>
      </c>
      <c r="E11" s="24" t="s">
        <v>71</v>
      </c>
      <c r="F11" s="25"/>
      <c r="G11" s="21" t="s">
        <v>146</v>
      </c>
      <c r="H11" s="21"/>
      <c r="I11" s="25"/>
    </row>
    <row r="13" customFormat="false" ht="15" hidden="false" customHeight="false" outlineLevel="0" collapsed="false">
      <c r="A13" s="11" t="s">
        <v>73</v>
      </c>
      <c r="C13" s="12" t="n">
        <f aca="false">COUNTA(A4:A11)</f>
        <v>8</v>
      </c>
    </row>
    <row r="14" customFormat="false" ht="15" hidden="false" customHeight="false" outlineLevel="0" collapsed="false">
      <c r="A14" s="11" t="s">
        <v>74</v>
      </c>
      <c r="C14" s="12" t="n">
        <f aca="false">COUNTIF(E4:E11,"Completed")</f>
        <v>0</v>
      </c>
    </row>
    <row r="15" customFormat="false" ht="15" hidden="false" customHeight="false" outlineLevel="0" collapsed="false">
      <c r="A15" s="11" t="s">
        <v>75</v>
      </c>
      <c r="C15" s="12" t="n">
        <f aca="false">COUNTIF(E4:E11,"Delayed")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24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5" t="s">
        <v>23</v>
      </c>
      <c r="B1" s="15"/>
      <c r="C1" s="15"/>
      <c r="D1" s="15"/>
      <c r="E1" s="15"/>
      <c r="F1" s="15"/>
      <c r="G1" s="15"/>
      <c r="H1" s="15"/>
      <c r="I1" s="15"/>
    </row>
    <row r="3" customFormat="false" ht="31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7</v>
      </c>
      <c r="F3" s="3" t="s">
        <v>40</v>
      </c>
      <c r="G3" s="3" t="s">
        <v>41</v>
      </c>
      <c r="H3" s="3" t="s">
        <v>42</v>
      </c>
      <c r="I3" s="3" t="s">
        <v>43</v>
      </c>
    </row>
    <row r="4" customFormat="false" ht="42" hidden="false" customHeight="true" outlineLevel="0" collapsed="false">
      <c r="A4" s="16" t="s">
        <v>147</v>
      </c>
      <c r="B4" s="5" t="s">
        <v>148</v>
      </c>
      <c r="C4" s="17" t="s">
        <v>46</v>
      </c>
      <c r="D4" s="6" t="n">
        <v>46345</v>
      </c>
      <c r="E4" s="9" t="s">
        <v>15</v>
      </c>
      <c r="F4" s="18"/>
      <c r="G4" s="5" t="s">
        <v>149</v>
      </c>
      <c r="H4" s="5"/>
      <c r="I4" s="18"/>
    </row>
    <row r="5" customFormat="false" ht="42" hidden="false" customHeight="true" outlineLevel="0" collapsed="false">
      <c r="A5" s="16" t="s">
        <v>150</v>
      </c>
      <c r="B5" s="5" t="s">
        <v>151</v>
      </c>
      <c r="C5" s="17" t="s">
        <v>46</v>
      </c>
      <c r="D5" s="6" t="n">
        <v>46349</v>
      </c>
      <c r="E5" s="9" t="s">
        <v>15</v>
      </c>
      <c r="F5" s="18"/>
      <c r="G5" s="5" t="s">
        <v>152</v>
      </c>
      <c r="H5" s="5"/>
      <c r="I5" s="18"/>
    </row>
    <row r="6" customFormat="false" ht="42" hidden="false" customHeight="true" outlineLevel="0" collapsed="false">
      <c r="A6" s="16" t="s">
        <v>153</v>
      </c>
      <c r="B6" s="5" t="s">
        <v>154</v>
      </c>
      <c r="C6" s="17" t="s">
        <v>46</v>
      </c>
      <c r="D6" s="6" t="n">
        <v>46352</v>
      </c>
      <c r="E6" s="9" t="s">
        <v>15</v>
      </c>
      <c r="F6" s="18"/>
      <c r="G6" s="5" t="s">
        <v>155</v>
      </c>
      <c r="H6" s="5"/>
      <c r="I6" s="18"/>
    </row>
    <row r="7" customFormat="false" ht="42" hidden="false" customHeight="true" outlineLevel="0" collapsed="false">
      <c r="A7" s="16" t="s">
        <v>156</v>
      </c>
      <c r="B7" s="5" t="s">
        <v>157</v>
      </c>
      <c r="C7" s="17" t="s">
        <v>46</v>
      </c>
      <c r="D7" s="6" t="n">
        <v>46356</v>
      </c>
      <c r="E7" s="9" t="s">
        <v>15</v>
      </c>
      <c r="F7" s="18"/>
      <c r="G7" s="5" t="s">
        <v>158</v>
      </c>
      <c r="H7" s="5"/>
      <c r="I7" s="18"/>
    </row>
    <row r="8" customFormat="false" ht="42" hidden="false" customHeight="true" outlineLevel="0" collapsed="false">
      <c r="A8" s="16" t="s">
        <v>159</v>
      </c>
      <c r="B8" s="5" t="s">
        <v>160</v>
      </c>
      <c r="C8" s="17" t="s">
        <v>46</v>
      </c>
      <c r="D8" s="6" t="n">
        <v>46359</v>
      </c>
      <c r="E8" s="9" t="s">
        <v>15</v>
      </c>
      <c r="F8" s="18"/>
      <c r="G8" s="5" t="s">
        <v>158</v>
      </c>
      <c r="H8" s="5"/>
      <c r="I8" s="18"/>
    </row>
    <row r="9" customFormat="false" ht="42" hidden="false" customHeight="true" outlineLevel="0" collapsed="false">
      <c r="A9" s="16" t="s">
        <v>161</v>
      </c>
      <c r="B9" s="5" t="s">
        <v>162</v>
      </c>
      <c r="C9" s="17" t="s">
        <v>46</v>
      </c>
      <c r="D9" s="6" t="n">
        <v>46363</v>
      </c>
      <c r="E9" s="9" t="s">
        <v>15</v>
      </c>
      <c r="F9" s="18"/>
      <c r="G9" s="5" t="s">
        <v>163</v>
      </c>
      <c r="H9" s="5"/>
      <c r="I9" s="18"/>
    </row>
    <row r="10" customFormat="false" ht="42" hidden="false" customHeight="true" outlineLevel="0" collapsed="false">
      <c r="A10" s="16" t="s">
        <v>164</v>
      </c>
      <c r="B10" s="5" t="s">
        <v>165</v>
      </c>
      <c r="C10" s="17" t="s">
        <v>46</v>
      </c>
      <c r="D10" s="6" t="n">
        <v>46366</v>
      </c>
      <c r="E10" s="9" t="s">
        <v>15</v>
      </c>
      <c r="F10" s="18"/>
      <c r="G10" s="5" t="s">
        <v>166</v>
      </c>
      <c r="H10" s="5"/>
      <c r="I10" s="18"/>
    </row>
    <row r="11" customFormat="false" ht="42" hidden="false" customHeight="true" outlineLevel="0" collapsed="false">
      <c r="A11" s="20" t="s">
        <v>167</v>
      </c>
      <c r="B11" s="21" t="s">
        <v>168</v>
      </c>
      <c r="C11" s="22" t="s">
        <v>70</v>
      </c>
      <c r="D11" s="23" t="n">
        <v>46370</v>
      </c>
      <c r="E11" s="24" t="s">
        <v>71</v>
      </c>
      <c r="F11" s="25"/>
      <c r="G11" s="21" t="s">
        <v>169</v>
      </c>
      <c r="H11" s="21"/>
      <c r="I11" s="25"/>
    </row>
    <row r="13" customFormat="false" ht="15" hidden="false" customHeight="false" outlineLevel="0" collapsed="false">
      <c r="A13" s="11" t="s">
        <v>73</v>
      </c>
      <c r="C13" s="12" t="n">
        <f aca="false">COUNTA(A4:A11)</f>
        <v>8</v>
      </c>
    </row>
    <row r="14" customFormat="false" ht="15" hidden="false" customHeight="false" outlineLevel="0" collapsed="false">
      <c r="A14" s="11" t="s">
        <v>74</v>
      </c>
      <c r="C14" s="12" t="n">
        <f aca="false">COUNTIF(E4:E11,"Completed")</f>
        <v>0</v>
      </c>
    </row>
    <row r="15" customFormat="false" ht="15" hidden="false" customHeight="false" outlineLevel="0" collapsed="false">
      <c r="A15" s="11" t="s">
        <v>75</v>
      </c>
      <c r="C15" s="12" t="n">
        <f aca="false">COUNTIF(E4:E11,"Delayed")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24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5" t="s">
        <v>26</v>
      </c>
      <c r="B1" s="15"/>
      <c r="C1" s="15"/>
      <c r="D1" s="15"/>
      <c r="E1" s="15"/>
      <c r="F1" s="15"/>
      <c r="G1" s="15"/>
      <c r="H1" s="15"/>
      <c r="I1" s="15"/>
    </row>
    <row r="3" customFormat="false" ht="31.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7</v>
      </c>
      <c r="F3" s="3" t="s">
        <v>40</v>
      </c>
      <c r="G3" s="3" t="s">
        <v>41</v>
      </c>
      <c r="H3" s="3" t="s">
        <v>42</v>
      </c>
      <c r="I3" s="3" t="s">
        <v>43</v>
      </c>
    </row>
    <row r="4" customFormat="false" ht="42" hidden="false" customHeight="true" outlineLevel="0" collapsed="false">
      <c r="A4" s="16" t="s">
        <v>170</v>
      </c>
      <c r="B4" s="5" t="s">
        <v>171</v>
      </c>
      <c r="C4" s="17" t="s">
        <v>46</v>
      </c>
      <c r="D4" s="6" t="n">
        <v>46373</v>
      </c>
      <c r="E4" s="9" t="s">
        <v>15</v>
      </c>
      <c r="F4" s="18"/>
      <c r="G4" s="5" t="s">
        <v>172</v>
      </c>
      <c r="H4" s="5"/>
      <c r="I4" s="18"/>
    </row>
    <row r="5" customFormat="false" ht="42" hidden="false" customHeight="true" outlineLevel="0" collapsed="false">
      <c r="A5" s="16" t="s">
        <v>173</v>
      </c>
      <c r="B5" s="5" t="s">
        <v>174</v>
      </c>
      <c r="C5" s="17" t="s">
        <v>46</v>
      </c>
      <c r="D5" s="6" t="n">
        <v>46377</v>
      </c>
      <c r="E5" s="9" t="s">
        <v>15</v>
      </c>
      <c r="F5" s="18"/>
      <c r="G5" s="5" t="s">
        <v>175</v>
      </c>
      <c r="H5" s="5"/>
      <c r="I5" s="18"/>
    </row>
    <row r="6" customFormat="false" ht="42" hidden="false" customHeight="true" outlineLevel="0" collapsed="false">
      <c r="A6" s="16" t="s">
        <v>176</v>
      </c>
      <c r="B6" s="5" t="s">
        <v>177</v>
      </c>
      <c r="C6" s="17" t="s">
        <v>46</v>
      </c>
      <c r="D6" s="6" t="n">
        <v>46380</v>
      </c>
      <c r="E6" s="9" t="s">
        <v>15</v>
      </c>
      <c r="F6" s="18"/>
      <c r="G6" s="5" t="s">
        <v>178</v>
      </c>
      <c r="H6" s="19" t="s">
        <v>179</v>
      </c>
      <c r="I6" s="18"/>
    </row>
    <row r="7" customFormat="false" ht="42" hidden="false" customHeight="true" outlineLevel="0" collapsed="false">
      <c r="A7" s="16" t="s">
        <v>180</v>
      </c>
      <c r="B7" s="5" t="s">
        <v>181</v>
      </c>
      <c r="C7" s="17" t="s">
        <v>46</v>
      </c>
      <c r="D7" s="6" t="n">
        <v>46387</v>
      </c>
      <c r="E7" s="9" t="s">
        <v>15</v>
      </c>
      <c r="F7" s="18"/>
      <c r="G7" s="5" t="s">
        <v>182</v>
      </c>
      <c r="H7" s="5"/>
      <c r="I7" s="18"/>
    </row>
    <row r="8" customFormat="false" ht="42" hidden="false" customHeight="true" outlineLevel="0" collapsed="false">
      <c r="A8" s="16" t="s">
        <v>183</v>
      </c>
      <c r="B8" s="5" t="s">
        <v>184</v>
      </c>
      <c r="C8" s="17" t="s">
        <v>46</v>
      </c>
      <c r="D8" s="6" t="n">
        <v>46391</v>
      </c>
      <c r="E8" s="9" t="s">
        <v>15</v>
      </c>
      <c r="F8" s="18"/>
      <c r="G8" s="5" t="s">
        <v>185</v>
      </c>
      <c r="H8" s="5"/>
      <c r="I8" s="18"/>
    </row>
    <row r="9" customFormat="false" ht="42" hidden="false" customHeight="true" outlineLevel="0" collapsed="false">
      <c r="A9" s="16" t="s">
        <v>186</v>
      </c>
      <c r="B9" s="5" t="s">
        <v>187</v>
      </c>
      <c r="C9" s="17" t="s">
        <v>46</v>
      </c>
      <c r="D9" s="6" t="n">
        <v>46394</v>
      </c>
      <c r="E9" s="9" t="s">
        <v>15</v>
      </c>
      <c r="F9" s="18"/>
      <c r="G9" s="5" t="s">
        <v>188</v>
      </c>
      <c r="H9" s="5"/>
      <c r="I9" s="18"/>
    </row>
    <row r="10" customFormat="false" ht="42" hidden="false" customHeight="true" outlineLevel="0" collapsed="false">
      <c r="A10" s="16" t="s">
        <v>189</v>
      </c>
      <c r="B10" s="5" t="s">
        <v>190</v>
      </c>
      <c r="C10" s="17" t="s">
        <v>46</v>
      </c>
      <c r="D10" s="6" t="n">
        <v>46395</v>
      </c>
      <c r="E10" s="9" t="s">
        <v>15</v>
      </c>
      <c r="F10" s="18"/>
      <c r="G10" s="5" t="s">
        <v>191</v>
      </c>
      <c r="H10" s="5"/>
      <c r="I10" s="18"/>
    </row>
    <row r="11" customFormat="false" ht="42" hidden="false" customHeight="true" outlineLevel="0" collapsed="false">
      <c r="A11" s="20" t="s">
        <v>192</v>
      </c>
      <c r="B11" s="21" t="s">
        <v>193</v>
      </c>
      <c r="C11" s="22" t="s">
        <v>70</v>
      </c>
      <c r="D11" s="23" t="n">
        <v>46398</v>
      </c>
      <c r="E11" s="24" t="s">
        <v>71</v>
      </c>
      <c r="F11" s="25"/>
      <c r="G11" s="21" t="s">
        <v>194</v>
      </c>
      <c r="H11" s="21"/>
      <c r="I11" s="25"/>
    </row>
    <row r="13" customFormat="false" ht="15" hidden="false" customHeight="false" outlineLevel="0" collapsed="false">
      <c r="A13" s="11" t="s">
        <v>73</v>
      </c>
      <c r="C13" s="12" t="n">
        <f aca="false">COUNTA(A4:A11)</f>
        <v>8</v>
      </c>
    </row>
    <row r="14" customFormat="false" ht="15" hidden="false" customHeight="false" outlineLevel="0" collapsed="false">
      <c r="A14" s="11" t="s">
        <v>74</v>
      </c>
      <c r="C14" s="12" t="n">
        <f aca="false">COUNTIF(E4:E11,"Completed")</f>
        <v>0</v>
      </c>
    </row>
    <row r="15" customFormat="false" ht="15" hidden="false" customHeight="false" outlineLevel="0" collapsed="false">
      <c r="A15" s="11" t="s">
        <v>75</v>
      </c>
      <c r="C15" s="12" t="n">
        <f aca="false">COUNTIF(E4:E11,"Delayed")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2026-08-22T06:02:23Z</dcterms:created>
  <dc:creator>openpyxl</dc:creator>
  <dc:description/>
  <dc:language>en-US</dc:language>
  <cp:lastModifiedBy/>
  <dcterms:modified xsi:type="dcterms:W3CDTF">2026-08-22T06:02:23Z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